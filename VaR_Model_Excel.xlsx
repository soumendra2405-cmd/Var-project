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ownloads\"/>
    </mc:Choice>
  </mc:AlternateContent>
  <xr:revisionPtr revIDLastSave="0" documentId="13_ncr:1_{7D465800-D394-4CAD-B28F-F54B5058899B}" xr6:coauthVersionLast="47" xr6:coauthVersionMax="47" xr10:uidLastSave="{00000000-0000-0000-0000-000000000000}"/>
  <bookViews>
    <workbookView xWindow="-110" yWindow="-110" windowWidth="19420" windowHeight="10300" xr2:uid="{308696EF-8615-4792-878D-42D7F6894E6F}"/>
  </bookViews>
  <sheets>
    <sheet name=" Historical VaR" sheetId="1" r:id="rId1"/>
    <sheet name="Monte Carlo simulation VaR" sheetId="3" r:id="rId2"/>
  </sheets>
  <definedNames>
    <definedName name="_xlchart.v1.0" hidden="1">' Historical VaR'!$D$2:$D$259</definedName>
    <definedName name="_xlchart.v1.1" hidden="1">'Monte Carlo simulation VaR'!$F$2:$F$1001</definedName>
  </definedNames>
  <calcPr calcId="191029"/>
</workbook>
</file>

<file path=xl/calcChain.xml><?xml version="1.0" encoding="utf-8"?>
<calcChain xmlns="http://schemas.openxmlformats.org/spreadsheetml/2006/main">
  <c r="E9" i="1" l="1"/>
  <c r="G14" i="1"/>
  <c r="G13" i="1"/>
  <c r="G12" i="1"/>
  <c r="F3" i="1"/>
  <c r="F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  <c r="H12" i="1" l="1"/>
  <c r="H13" i="1"/>
  <c r="H14" i="1"/>
  <c r="J19" i="3"/>
  <c r="K19" i="3" s="1"/>
  <c r="J21" i="3"/>
  <c r="K21" i="3" s="1"/>
  <c r="J20" i="3"/>
  <c r="K20" i="3" s="1"/>
  <c r="I15" i="3"/>
  <c r="I13" i="3"/>
  <c r="I14" i="3"/>
  <c r="I12" i="3"/>
</calcChain>
</file>

<file path=xl/sharedStrings.xml><?xml version="1.0" encoding="utf-8"?>
<sst xmlns="http://schemas.openxmlformats.org/spreadsheetml/2006/main" count="40" uniqueCount="25">
  <si>
    <t xml:space="preserve">Date  </t>
  </si>
  <si>
    <t>Price</t>
  </si>
  <si>
    <t>MEAN</t>
  </si>
  <si>
    <t>STD.DEV</t>
  </si>
  <si>
    <t>MIN</t>
  </si>
  <si>
    <t>MAX</t>
  </si>
  <si>
    <t>MARKET PRICE</t>
  </si>
  <si>
    <t>say you have 1000 shares</t>
  </si>
  <si>
    <t>Confidence level</t>
  </si>
  <si>
    <t xml:space="preserve">Percentile </t>
  </si>
  <si>
    <t>VAR %</t>
  </si>
  <si>
    <t>VAR(INR)</t>
  </si>
  <si>
    <t xml:space="preserve">Replication </t>
  </si>
  <si>
    <t>Simulated Returns</t>
  </si>
  <si>
    <t>HISTORICAL APPROACH</t>
  </si>
  <si>
    <t xml:space="preserve">SIMULATION APPROACH </t>
  </si>
  <si>
    <t>percentile</t>
  </si>
  <si>
    <t>confidence</t>
  </si>
  <si>
    <t>VaR%</t>
  </si>
  <si>
    <t>VaR(INR)</t>
  </si>
  <si>
    <t xml:space="preserve">portfolio = 1000*192.58 </t>
  </si>
  <si>
    <t>Historical VaR</t>
  </si>
  <si>
    <t>Sorted returns</t>
  </si>
  <si>
    <t>Returns</t>
  </si>
  <si>
    <t>Monte Carlo Simulation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</si>
</sst>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&quot;₹&quot;\ #,##0.00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/>
    <xf numFmtId="0" fontId="16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9" fontId="16" fillId="0" borderId="10" xfId="0" applyNumberFormat="1" applyFont="1" applyBorder="1" applyAlignment="1">
      <alignment horizontal="center"/>
    </xf>
    <xf numFmtId="10" fontId="16" fillId="0" borderId="10" xfId="0" applyNumberFormat="1" applyFont="1" applyBorder="1" applyAlignment="1">
      <alignment horizontal="center"/>
    </xf>
    <xf numFmtId="0" fontId="18" fillId="0" borderId="0" xfId="0" applyFont="1"/>
    <xf numFmtId="10" fontId="18" fillId="0" borderId="10" xfId="0" applyNumberFormat="1" applyFont="1" applyBorder="1" applyAlignment="1">
      <alignment horizontal="center"/>
    </xf>
    <xf numFmtId="164" fontId="0" fillId="0" borderId="0" xfId="42" applyNumberFormat="1" applyFont="1"/>
    <xf numFmtId="0" fontId="0" fillId="0" borderId="0" xfId="42" applyNumberFormat="1" applyFont="1"/>
    <xf numFmtId="0" fontId="16" fillId="33" borderId="0" xfId="0" applyFont="1" applyFill="1"/>
    <xf numFmtId="0" fontId="18" fillId="0" borderId="0" xfId="0" applyFont="1" applyAlignment="1">
      <alignment horizontal="center"/>
    </xf>
    <xf numFmtId="165" fontId="18" fillId="0" borderId="10" xfId="0" applyNumberFormat="1" applyFont="1" applyBorder="1" applyAlignment="1">
      <alignment horizontal="center"/>
    </xf>
    <xf numFmtId="0" fontId="0" fillId="0" borderId="0" xfId="42" applyNumberFormat="1" applyFont="1" applyBorder="1"/>
    <xf numFmtId="0" fontId="16" fillId="33" borderId="11" xfId="0" applyFont="1" applyFill="1" applyBorder="1"/>
    <xf numFmtId="0" fontId="16" fillId="33" borderId="13" xfId="0" applyFont="1" applyFill="1" applyBorder="1"/>
    <xf numFmtId="0" fontId="16" fillId="0" borderId="0" xfId="0" applyFont="1" applyAlignment="1">
      <alignment horizontal="center"/>
    </xf>
    <xf numFmtId="0" fontId="16" fillId="0" borderId="10" xfId="0" applyFont="1" applyBorder="1"/>
    <xf numFmtId="0" fontId="16" fillId="33" borderId="10" xfId="0" applyFont="1" applyFill="1" applyBorder="1"/>
    <xf numFmtId="0" fontId="18" fillId="0" borderId="10" xfId="0" applyFont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6" fillId="33" borderId="11" xfId="0" applyFont="1" applyFill="1" applyBorder="1" applyAlignment="1">
      <alignment horizontal="left"/>
    </xf>
    <xf numFmtId="0" fontId="16" fillId="33" borderId="13" xfId="0" applyFont="1" applyFill="1" applyBorder="1" applyAlignment="1">
      <alignment horizontal="left"/>
    </xf>
    <xf numFmtId="0" fontId="16" fillId="0" borderId="15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Daily Retruns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Retruns Distribution</a:t>
          </a:r>
        </a:p>
      </cx:txPr>
    </cx:title>
    <cx:plotArea>
      <cx:plotAreaRegion>
        <cx:series layoutId="clusteredColumn" uniqueId="{E36F1548-BCBE-4138-8FB3-BF43AF20D80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Daily retrun distribution 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8BEDC82-8BBF-433D-B80B-11EA0E519F4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7055</xdr:colOff>
      <xdr:row>15</xdr:row>
      <xdr:rowOff>0</xdr:rowOff>
    </xdr:from>
    <xdr:to>
      <xdr:col>8</xdr:col>
      <xdr:colOff>427566</xdr:colOff>
      <xdr:row>32</xdr:row>
      <xdr:rowOff>95251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30D9C48-1253-45EB-8D86-003F5574DE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955" y="2844800"/>
              <a:ext cx="5278261" cy="3225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10</xdr:col>
      <xdr:colOff>237067</xdr:colOff>
      <xdr:row>37</xdr:row>
      <xdr:rowOff>135467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B540010-166B-4AD2-9C32-4157E4EAB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0550" y="4362450"/>
              <a:ext cx="4561417" cy="2713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7E2C-500B-4C55-BA9B-41EB36203530}">
  <dimension ref="A1:I259"/>
  <sheetViews>
    <sheetView tabSelected="1" zoomScale="90" workbookViewId="0">
      <selection activeCell="N12" sqref="N12"/>
    </sheetView>
  </sheetViews>
  <sheetFormatPr defaultRowHeight="14.5" x14ac:dyDescent="0.35"/>
  <cols>
    <col min="1" max="1" width="17.6328125" customWidth="1"/>
    <col min="2" max="2" width="10.1796875" customWidth="1"/>
    <col min="3" max="3" width="11.36328125" customWidth="1"/>
    <col min="4" max="4" width="14.1796875" customWidth="1"/>
    <col min="5" max="5" width="30" customWidth="1"/>
    <col min="6" max="6" width="16.453125" customWidth="1"/>
    <col min="7" max="7" width="14.36328125" customWidth="1"/>
  </cols>
  <sheetData>
    <row r="1" spans="1:9" ht="15" thickBot="1" x14ac:dyDescent="0.4">
      <c r="A1" s="14" t="s">
        <v>0</v>
      </c>
      <c r="B1" s="14" t="s">
        <v>1</v>
      </c>
      <c r="C1" s="14" t="s">
        <v>23</v>
      </c>
      <c r="D1" s="14" t="s">
        <v>22</v>
      </c>
      <c r="E1" s="24" t="s">
        <v>21</v>
      </c>
      <c r="F1" s="25"/>
      <c r="G1" s="26"/>
    </row>
    <row r="2" spans="1:9" ht="15" thickBot="1" x14ac:dyDescent="0.4">
      <c r="A2" s="1">
        <v>45731</v>
      </c>
      <c r="B2">
        <v>140.38999999999999</v>
      </c>
      <c r="C2" s="12">
        <v>8.4260116999999995E-2</v>
      </c>
      <c r="D2" s="12">
        <v>-8.6121598999999993E-2</v>
      </c>
      <c r="E2" s="6" t="s">
        <v>2</v>
      </c>
      <c r="F2" s="11">
        <f>AVERAGE(D2:D258)</f>
        <v>1.5558459455252919E-3</v>
      </c>
      <c r="G2" s="3"/>
    </row>
    <row r="3" spans="1:9" ht="15" thickBot="1" x14ac:dyDescent="0.4">
      <c r="A3" s="1">
        <v>45732</v>
      </c>
      <c r="B3">
        <v>129.47999999999999</v>
      </c>
      <c r="C3" s="12">
        <v>-0.32957075499999999</v>
      </c>
      <c r="D3" s="12">
        <v>-7.7712087999999999E-2</v>
      </c>
      <c r="E3" s="6" t="s">
        <v>3</v>
      </c>
      <c r="F3" s="11">
        <f>_xlfn.STDEV.S(D2:D258)</f>
        <v>1.7362541554248191E-2</v>
      </c>
      <c r="G3" s="3"/>
    </row>
    <row r="4" spans="1:9" ht="15" thickBot="1" x14ac:dyDescent="0.4">
      <c r="A4" s="1">
        <v>45945</v>
      </c>
      <c r="B4">
        <v>193.13</v>
      </c>
      <c r="C4" s="12">
        <v>0.262205085</v>
      </c>
      <c r="D4" s="12">
        <v>-4.5423091999999998E-2</v>
      </c>
      <c r="E4" s="6" t="s">
        <v>4</v>
      </c>
      <c r="F4" s="11">
        <v>-8.6121598999999993E-2</v>
      </c>
      <c r="G4" s="3"/>
    </row>
    <row r="5" spans="1:9" ht="15" thickBot="1" x14ac:dyDescent="0.4">
      <c r="A5" s="1">
        <v>45814</v>
      </c>
      <c r="B5">
        <v>153.01</v>
      </c>
      <c r="C5" s="12">
        <v>0.141524918</v>
      </c>
      <c r="D5" s="12">
        <v>-3.1214385000000001E-2</v>
      </c>
      <c r="E5" s="6" t="s">
        <v>5</v>
      </c>
      <c r="F5" s="11">
        <v>6.1983470999999998E-2</v>
      </c>
      <c r="G5" s="3"/>
    </row>
    <row r="6" spans="1:9" ht="15" thickBot="1" x14ac:dyDescent="0.4">
      <c r="A6" s="1">
        <v>45695</v>
      </c>
      <c r="B6">
        <v>134.04</v>
      </c>
      <c r="C6" s="12">
        <v>-0.13689633000000001</v>
      </c>
      <c r="D6" s="12">
        <v>-3.0872677000000001E-2</v>
      </c>
      <c r="E6" s="6" t="s">
        <v>6</v>
      </c>
      <c r="F6" s="7">
        <v>192.58</v>
      </c>
      <c r="G6" s="3"/>
    </row>
    <row r="7" spans="1:9" ht="15" thickBot="1" x14ac:dyDescent="0.4">
      <c r="A7" s="1">
        <v>45823</v>
      </c>
      <c r="B7">
        <v>155.30000000000001</v>
      </c>
      <c r="C7" s="12">
        <v>0.19360541100000001</v>
      </c>
      <c r="D7" s="12">
        <v>-3.0465725999999999E-2</v>
      </c>
      <c r="E7" s="27" t="s">
        <v>7</v>
      </c>
      <c r="F7" s="28"/>
      <c r="G7" s="29"/>
    </row>
    <row r="8" spans="1:9" ht="15" thickBot="1" x14ac:dyDescent="0.4">
      <c r="A8" s="1">
        <v>45696</v>
      </c>
      <c r="B8">
        <v>130.11000000000001</v>
      </c>
      <c r="C8" s="12">
        <v>-0.22275985700000001</v>
      </c>
      <c r="D8" s="12">
        <v>-2.9319606000000002E-2</v>
      </c>
      <c r="E8" s="23" t="s">
        <v>20</v>
      </c>
      <c r="F8" s="23"/>
      <c r="G8" s="23"/>
    </row>
    <row r="9" spans="1:9" x14ac:dyDescent="0.35">
      <c r="A9" s="1">
        <v>45854</v>
      </c>
      <c r="B9">
        <v>167.4</v>
      </c>
      <c r="C9" s="12">
        <v>7.9791007999999997E-2</v>
      </c>
      <c r="D9" s="12">
        <v>-2.8889662E-2</v>
      </c>
      <c r="E9" s="36">
        <f>1000*192.58</f>
        <v>192580</v>
      </c>
      <c r="F9" s="36"/>
      <c r="G9" s="36"/>
    </row>
    <row r="10" spans="1:9" ht="15" thickBot="1" x14ac:dyDescent="0.4">
      <c r="A10" s="1">
        <v>45831</v>
      </c>
      <c r="B10">
        <v>155.03</v>
      </c>
      <c r="C10" s="12">
        <v>-7.7202381E-2</v>
      </c>
      <c r="D10" s="12">
        <v>-2.8816637999999999E-2</v>
      </c>
      <c r="G10" s="2"/>
      <c r="H10" s="2"/>
      <c r="I10" s="2"/>
    </row>
    <row r="11" spans="1:9" ht="15" thickBot="1" x14ac:dyDescent="0.4">
      <c r="A11" s="1">
        <v>45897</v>
      </c>
      <c r="B11">
        <v>168</v>
      </c>
      <c r="C11" s="12">
        <v>-8.4767922999999995E-2</v>
      </c>
      <c r="D11" s="12">
        <v>-2.5861069E-2</v>
      </c>
      <c r="E11" s="5" t="s">
        <v>8</v>
      </c>
      <c r="F11" s="5" t="s">
        <v>9</v>
      </c>
      <c r="G11" s="5" t="s">
        <v>10</v>
      </c>
      <c r="H11" s="5" t="s">
        <v>11</v>
      </c>
    </row>
    <row r="12" spans="1:9" ht="15" thickBot="1" x14ac:dyDescent="0.4">
      <c r="A12" s="1">
        <v>45938</v>
      </c>
      <c r="B12">
        <v>183.56</v>
      </c>
      <c r="C12" s="12">
        <v>0.443308696</v>
      </c>
      <c r="D12" s="12">
        <v>-2.5017261999999998E-2</v>
      </c>
      <c r="E12" s="8">
        <v>0.95</v>
      </c>
      <c r="F12" s="8">
        <v>0.05</v>
      </c>
      <c r="G12" s="11">
        <f>_xlfn.PERCENTILE.INC(D2:D258,F12)</f>
        <v>-2.2176467000000002E-2</v>
      </c>
      <c r="H12" s="7">
        <f>G12*$E$9</f>
        <v>-4270.7440148600008</v>
      </c>
    </row>
    <row r="13" spans="1:9" ht="15" thickBot="1" x14ac:dyDescent="0.4">
      <c r="A13" s="1">
        <v>45734</v>
      </c>
      <c r="B13">
        <v>127.18</v>
      </c>
      <c r="C13" s="12">
        <v>-0.168160115</v>
      </c>
      <c r="D13" s="12">
        <v>-2.3794902999999999E-2</v>
      </c>
      <c r="E13" s="8">
        <v>0.99</v>
      </c>
      <c r="F13" s="8">
        <v>0.01</v>
      </c>
      <c r="G13" s="11">
        <f>_xlfn.PERCENTILE.INC(D2:D258,F13)</f>
        <v>-3.7466216079999996E-2</v>
      </c>
      <c r="H13" s="7">
        <f t="shared" ref="H13:H14" si="0">G13*$E$9</f>
        <v>-7215.2438926863997</v>
      </c>
    </row>
    <row r="14" spans="1:9" ht="15" thickBot="1" x14ac:dyDescent="0.4">
      <c r="A14" s="1">
        <v>45776</v>
      </c>
      <c r="B14">
        <v>152.88999999999999</v>
      </c>
      <c r="C14" s="12">
        <v>0.11071558300000001</v>
      </c>
      <c r="D14" s="12">
        <v>-2.2504955E-2</v>
      </c>
      <c r="E14" s="9">
        <v>0.999</v>
      </c>
      <c r="F14" s="9">
        <v>1E-3</v>
      </c>
      <c r="G14" s="11">
        <f>_xlfn.PERCENTILE.INC(D2:D258,F14)</f>
        <v>-8.3968764183999997E-2</v>
      </c>
      <c r="H14" s="7">
        <f t="shared" si="0"/>
        <v>-16170.70460655472</v>
      </c>
    </row>
    <row r="15" spans="1:9" x14ac:dyDescent="0.35">
      <c r="A15" s="1">
        <v>45705</v>
      </c>
      <c r="B15">
        <v>137.65</v>
      </c>
      <c r="C15" s="12">
        <v>-0.15794947100000001</v>
      </c>
      <c r="D15" s="12">
        <v>-2.2094345000000001E-2</v>
      </c>
    </row>
    <row r="16" spans="1:9" x14ac:dyDescent="0.35">
      <c r="A16" s="1">
        <v>45908</v>
      </c>
      <c r="B16">
        <v>163.47</v>
      </c>
      <c r="C16" s="12">
        <v>3.5013295999999999E-2</v>
      </c>
      <c r="D16" s="12">
        <v>-2.1782059999999999E-2</v>
      </c>
    </row>
    <row r="17" spans="1:4" x14ac:dyDescent="0.35">
      <c r="A17" s="1">
        <v>45813</v>
      </c>
      <c r="B17">
        <v>157.94</v>
      </c>
      <c r="C17" s="12">
        <v>-0.123140129</v>
      </c>
      <c r="D17" s="12">
        <v>-2.1194844000000001E-2</v>
      </c>
    </row>
    <row r="18" spans="1:4" x14ac:dyDescent="0.35">
      <c r="A18" s="1">
        <v>45931</v>
      </c>
      <c r="B18">
        <v>180.12</v>
      </c>
      <c r="C18" s="12">
        <v>0.29722722400000001</v>
      </c>
      <c r="D18" s="12">
        <v>-2.0021763000000001E-2</v>
      </c>
    </row>
    <row r="19" spans="1:4" x14ac:dyDescent="0.35">
      <c r="A19" s="1">
        <v>45743</v>
      </c>
      <c r="B19">
        <v>138.85</v>
      </c>
      <c r="C19" s="12">
        <v>-0.22555636100000001</v>
      </c>
      <c r="D19" s="12">
        <v>-1.8866590999999999E-2</v>
      </c>
    </row>
    <row r="20" spans="1:4" x14ac:dyDescent="0.35">
      <c r="A20" s="1">
        <v>45885</v>
      </c>
      <c r="B20">
        <v>179.29</v>
      </c>
      <c r="C20" s="12">
        <v>0.127610063</v>
      </c>
      <c r="D20" s="12">
        <v>-1.8503312000000001E-2</v>
      </c>
    </row>
    <row r="21" spans="1:4" x14ac:dyDescent="0.35">
      <c r="A21" s="1">
        <v>45795</v>
      </c>
      <c r="B21">
        <v>159</v>
      </c>
      <c r="C21" s="12">
        <v>2.8382210000000001E-3</v>
      </c>
      <c r="D21" s="12">
        <v>-1.8336729E-2</v>
      </c>
    </row>
    <row r="22" spans="1:4" x14ac:dyDescent="0.35">
      <c r="A22" s="1">
        <v>45828</v>
      </c>
      <c r="B22">
        <v>158.55000000000001</v>
      </c>
      <c r="C22" s="12">
        <v>-6.7681994999999995E-2</v>
      </c>
      <c r="D22" s="12">
        <v>-1.8327039E-2</v>
      </c>
    </row>
    <row r="23" spans="1:4" x14ac:dyDescent="0.35">
      <c r="A23" s="1">
        <v>45860</v>
      </c>
      <c r="B23">
        <v>170.06</v>
      </c>
      <c r="C23" s="12">
        <v>1.3542949999999999E-3</v>
      </c>
      <c r="D23" s="12">
        <v>-1.8186016999999999E-2</v>
      </c>
    </row>
    <row r="24" spans="1:4" x14ac:dyDescent="0.35">
      <c r="A24" s="1">
        <v>45914</v>
      </c>
      <c r="B24">
        <v>169.83</v>
      </c>
      <c r="C24" s="12">
        <v>4.1837923999999999E-2</v>
      </c>
      <c r="D24" s="12">
        <v>-1.7585468999999999E-2</v>
      </c>
    </row>
    <row r="25" spans="1:4" x14ac:dyDescent="0.35">
      <c r="A25" s="1">
        <v>45792</v>
      </c>
      <c r="B25">
        <v>163.01</v>
      </c>
      <c r="C25" s="12">
        <v>1.4564013000000001E-2</v>
      </c>
      <c r="D25" s="12">
        <v>-1.7479356000000001E-2</v>
      </c>
    </row>
    <row r="26" spans="1:4" x14ac:dyDescent="0.35">
      <c r="A26" s="1">
        <v>45909</v>
      </c>
      <c r="B26">
        <v>160.66999999999999</v>
      </c>
      <c r="C26" s="12">
        <v>0.118326721</v>
      </c>
      <c r="D26" s="12">
        <v>-1.7128524999999999E-2</v>
      </c>
    </row>
    <row r="27" spans="1:4" x14ac:dyDescent="0.35">
      <c r="A27" s="1">
        <v>45751</v>
      </c>
      <c r="B27">
        <v>143.66999999999999</v>
      </c>
      <c r="C27" s="12">
        <v>-0.13116836000000001</v>
      </c>
      <c r="D27" s="12">
        <v>-1.5958903999999999E-2</v>
      </c>
    </row>
    <row r="28" spans="1:4" x14ac:dyDescent="0.35">
      <c r="A28" s="1">
        <v>45898</v>
      </c>
      <c r="B28">
        <v>165.36</v>
      </c>
      <c r="C28" s="12">
        <v>-3.0203507000000001E-2</v>
      </c>
      <c r="D28" s="12">
        <v>-1.5714286000000001E-2</v>
      </c>
    </row>
    <row r="29" spans="1:4" x14ac:dyDescent="0.35">
      <c r="A29" s="1">
        <v>45867</v>
      </c>
      <c r="B29">
        <v>170.51</v>
      </c>
      <c r="C29" s="12">
        <v>-1.9268377E-2</v>
      </c>
      <c r="D29" s="12">
        <v>-1.4563948E-2</v>
      </c>
    </row>
    <row r="30" spans="1:4" x14ac:dyDescent="0.35">
      <c r="A30" s="1">
        <v>45865</v>
      </c>
      <c r="B30">
        <v>173.86</v>
      </c>
      <c r="C30" s="12">
        <v>0.16348792100000001</v>
      </c>
      <c r="D30" s="12">
        <v>-1.4510825999999999E-2</v>
      </c>
    </row>
    <row r="31" spans="1:4" x14ac:dyDescent="0.35">
      <c r="A31" s="1">
        <v>45754</v>
      </c>
      <c r="B31">
        <v>149.43</v>
      </c>
      <c r="C31" s="12">
        <v>0.12743322800000001</v>
      </c>
      <c r="D31" s="12">
        <v>-1.4509002E-2</v>
      </c>
    </row>
    <row r="32" spans="1:4" x14ac:dyDescent="0.35">
      <c r="A32" s="1">
        <v>45693</v>
      </c>
      <c r="B32">
        <v>132.54</v>
      </c>
      <c r="C32" s="12">
        <v>-0.23941237200000001</v>
      </c>
      <c r="D32" s="12">
        <v>-1.3839285999999999E-2</v>
      </c>
    </row>
    <row r="33" spans="1:4" x14ac:dyDescent="0.35">
      <c r="A33" s="1">
        <v>45892</v>
      </c>
      <c r="B33">
        <v>174.26</v>
      </c>
      <c r="C33" s="12">
        <v>-2.4354739E-2</v>
      </c>
      <c r="D33" s="12">
        <v>-1.3529578E-2</v>
      </c>
    </row>
    <row r="34" spans="1:4" x14ac:dyDescent="0.35">
      <c r="A34" s="1">
        <v>45890</v>
      </c>
      <c r="B34">
        <v>178.61</v>
      </c>
      <c r="C34" s="12">
        <v>0.32825165499999998</v>
      </c>
      <c r="D34" s="12">
        <v>-1.3422448E-2</v>
      </c>
    </row>
    <row r="35" spans="1:4" x14ac:dyDescent="0.35">
      <c r="A35" s="1">
        <v>45699</v>
      </c>
      <c r="B35">
        <v>134.47</v>
      </c>
      <c r="C35" s="12">
        <v>-0.20015465099999999</v>
      </c>
      <c r="D35" s="12">
        <v>-1.306422E-2</v>
      </c>
    </row>
    <row r="36" spans="1:4" x14ac:dyDescent="0.35">
      <c r="A36" s="1">
        <v>45916</v>
      </c>
      <c r="B36">
        <v>168.12</v>
      </c>
      <c r="C36" s="12">
        <v>-8.5310120000000003E-2</v>
      </c>
      <c r="D36" s="12">
        <v>-1.3032758E-2</v>
      </c>
    </row>
    <row r="37" spans="1:4" x14ac:dyDescent="0.35">
      <c r="A37" s="1">
        <v>45930</v>
      </c>
      <c r="B37">
        <v>183.8</v>
      </c>
      <c r="C37" s="12">
        <v>0.14147310900000001</v>
      </c>
      <c r="D37" s="12">
        <v>-1.2889365999999999E-2</v>
      </c>
    </row>
    <row r="38" spans="1:4" x14ac:dyDescent="0.35">
      <c r="A38" s="1">
        <v>45767</v>
      </c>
      <c r="B38">
        <v>161.02000000000001</v>
      </c>
      <c r="C38" s="12">
        <v>-2.539801E-3</v>
      </c>
      <c r="D38" s="12">
        <v>-1.2873958E-2</v>
      </c>
    </row>
    <row r="39" spans="1:4" x14ac:dyDescent="0.35">
      <c r="A39" s="1">
        <v>45808</v>
      </c>
      <c r="B39">
        <v>161.43</v>
      </c>
      <c r="C39" s="12">
        <v>1.5027666E-2</v>
      </c>
      <c r="D39" s="12">
        <v>-1.253976E-2</v>
      </c>
    </row>
    <row r="40" spans="1:4" x14ac:dyDescent="0.35">
      <c r="A40" s="1">
        <v>45768</v>
      </c>
      <c r="B40">
        <v>159.04</v>
      </c>
      <c r="C40" s="12">
        <v>0.19605926100000001</v>
      </c>
      <c r="D40" s="12">
        <v>-1.2296609E-2</v>
      </c>
    </row>
    <row r="41" spans="1:4" x14ac:dyDescent="0.35">
      <c r="A41" s="1">
        <v>45689</v>
      </c>
      <c r="B41">
        <v>132.97</v>
      </c>
      <c r="C41" s="12">
        <v>-0.249901281</v>
      </c>
      <c r="D41" s="12">
        <v>-1.2256723000000001E-2</v>
      </c>
    </row>
    <row r="42" spans="1:4" x14ac:dyDescent="0.35">
      <c r="A42" s="1">
        <v>45886</v>
      </c>
      <c r="B42">
        <v>177.27</v>
      </c>
      <c r="C42" s="12">
        <v>0.12709816900000001</v>
      </c>
      <c r="D42" s="12">
        <v>-1.1266663E-2</v>
      </c>
    </row>
    <row r="43" spans="1:4" x14ac:dyDescent="0.35">
      <c r="A43" s="1">
        <v>45722</v>
      </c>
      <c r="B43">
        <v>157.28</v>
      </c>
      <c r="C43" s="12">
        <v>-0.10965185400000001</v>
      </c>
      <c r="D43" s="12">
        <v>-1.1066398E-2</v>
      </c>
    </row>
    <row r="44" spans="1:4" x14ac:dyDescent="0.35">
      <c r="A44" s="1">
        <v>45891</v>
      </c>
      <c r="B44">
        <v>176.65</v>
      </c>
      <c r="C44" s="12">
        <v>0.10627505</v>
      </c>
      <c r="D44" s="12">
        <v>-1.097363E-2</v>
      </c>
    </row>
    <row r="45" spans="1:4" x14ac:dyDescent="0.35">
      <c r="A45" s="1">
        <v>45810</v>
      </c>
      <c r="B45">
        <v>159.68</v>
      </c>
      <c r="C45" s="12">
        <v>1.0952833E-2</v>
      </c>
      <c r="D45" s="12">
        <v>-1.0840611999999999E-2</v>
      </c>
    </row>
    <row r="46" spans="1:4" x14ac:dyDescent="0.35">
      <c r="A46" s="1">
        <v>45819</v>
      </c>
      <c r="B46">
        <v>157.94999999999999</v>
      </c>
      <c r="C46" s="12">
        <v>0.151239067</v>
      </c>
      <c r="D46" s="12">
        <v>-1.0772218E-2</v>
      </c>
    </row>
    <row r="47" spans="1:4" x14ac:dyDescent="0.35">
      <c r="A47" s="1">
        <v>45708</v>
      </c>
      <c r="B47">
        <v>137.19999999999999</v>
      </c>
      <c r="C47" s="12">
        <v>-0.124609201</v>
      </c>
      <c r="D47" s="12">
        <v>-1.0743384999999999E-2</v>
      </c>
    </row>
    <row r="48" spans="1:4" x14ac:dyDescent="0.35">
      <c r="A48" s="1">
        <v>45724</v>
      </c>
      <c r="B48">
        <v>156.72999999999999</v>
      </c>
      <c r="C48" s="12">
        <v>-3.9402609999999996E-3</v>
      </c>
      <c r="D48" s="12">
        <v>-1.0667845E-2</v>
      </c>
    </row>
    <row r="49" spans="1:4" x14ac:dyDescent="0.35">
      <c r="A49" s="1">
        <v>45769</v>
      </c>
      <c r="B49">
        <v>157.35</v>
      </c>
      <c r="C49" s="12">
        <v>1.27121E-4</v>
      </c>
      <c r="D49" s="12">
        <v>-1.0626258E-2</v>
      </c>
    </row>
    <row r="50" spans="1:4" x14ac:dyDescent="0.35">
      <c r="A50" s="1">
        <v>45801</v>
      </c>
      <c r="B50">
        <v>157.33000000000001</v>
      </c>
      <c r="C50" s="12">
        <v>-1.5210315E-2</v>
      </c>
      <c r="D50" s="12">
        <v>-1.0503145E-2</v>
      </c>
    </row>
    <row r="51" spans="1:4" x14ac:dyDescent="0.35">
      <c r="A51" s="1">
        <v>45788</v>
      </c>
      <c r="B51">
        <v>159.76</v>
      </c>
      <c r="C51" s="12">
        <v>2.6207604999999998E-2</v>
      </c>
      <c r="D51" s="12">
        <v>-1.0467637E-2</v>
      </c>
    </row>
    <row r="52" spans="1:4" x14ac:dyDescent="0.35">
      <c r="A52" s="1">
        <v>45774</v>
      </c>
      <c r="B52">
        <v>155.68</v>
      </c>
      <c r="C52" s="12">
        <v>-9.6039948999999999E-2</v>
      </c>
      <c r="D52" s="12">
        <v>-1.0424612E-2</v>
      </c>
    </row>
    <row r="53" spans="1:4" x14ac:dyDescent="0.35">
      <c r="A53" s="1">
        <v>45872</v>
      </c>
      <c r="B53">
        <v>172.22</v>
      </c>
      <c r="C53" s="12">
        <v>0.12857142899999999</v>
      </c>
      <c r="D53" s="12">
        <v>-1.0229884999999999E-2</v>
      </c>
    </row>
    <row r="54" spans="1:4" x14ac:dyDescent="0.35">
      <c r="A54" s="1">
        <v>45779</v>
      </c>
      <c r="B54">
        <v>152.6</v>
      </c>
      <c r="C54" s="12">
        <v>8.9377498999999999E-2</v>
      </c>
      <c r="D54" s="12">
        <v>-1.0183564000000001E-2</v>
      </c>
    </row>
    <row r="55" spans="1:4" x14ac:dyDescent="0.35">
      <c r="A55" s="1">
        <v>45746</v>
      </c>
      <c r="B55">
        <v>140.08000000000001</v>
      </c>
      <c r="C55" s="12">
        <v>-0.21479820599999999</v>
      </c>
      <c r="D55" s="12">
        <v>-1.0035336000000001E-2</v>
      </c>
    </row>
    <row r="56" spans="1:4" x14ac:dyDescent="0.35">
      <c r="A56" s="1">
        <v>45932</v>
      </c>
      <c r="B56">
        <v>178.4</v>
      </c>
      <c r="C56" s="12">
        <v>6.1083684999999999E-2</v>
      </c>
      <c r="D56" s="12">
        <v>-9.5491889999999996E-3</v>
      </c>
    </row>
    <row r="57" spans="1:4" x14ac:dyDescent="0.35">
      <c r="A57" s="1">
        <v>45901</v>
      </c>
      <c r="B57">
        <v>168.13</v>
      </c>
      <c r="C57" s="12">
        <v>9.4382608000000007E-2</v>
      </c>
      <c r="D57" s="12">
        <v>-9.076443E-3</v>
      </c>
    </row>
    <row r="58" spans="1:4" x14ac:dyDescent="0.35">
      <c r="A58" s="1">
        <v>45832</v>
      </c>
      <c r="B58">
        <v>153.63</v>
      </c>
      <c r="C58" s="12">
        <v>-3.3773585000000002E-2</v>
      </c>
      <c r="D58" s="12">
        <v>-9.0305100000000003E-3</v>
      </c>
    </row>
    <row r="59" spans="1:4" x14ac:dyDescent="0.35">
      <c r="A59" s="1">
        <v>45800</v>
      </c>
      <c r="B59">
        <v>159</v>
      </c>
      <c r="C59" s="12">
        <v>0.20619025899999999</v>
      </c>
      <c r="D59" s="12">
        <v>-8.9753179999999995E-3</v>
      </c>
    </row>
    <row r="60" spans="1:4" x14ac:dyDescent="0.35">
      <c r="A60" s="1">
        <v>45690</v>
      </c>
      <c r="B60">
        <v>131.82</v>
      </c>
      <c r="C60" s="12">
        <v>-0.27904178499999999</v>
      </c>
      <c r="D60" s="12">
        <v>-8.6485669999999994E-3</v>
      </c>
    </row>
    <row r="61" spans="1:4" x14ac:dyDescent="0.35">
      <c r="A61" s="1">
        <v>45883</v>
      </c>
      <c r="B61">
        <v>182.84</v>
      </c>
      <c r="C61" s="12">
        <v>-2.5425084000000001E-2</v>
      </c>
      <c r="D61" s="12">
        <v>-8.1909410000000002E-3</v>
      </c>
    </row>
    <row r="62" spans="1:4" x14ac:dyDescent="0.35">
      <c r="A62" s="1">
        <v>45941</v>
      </c>
      <c r="B62">
        <v>187.61</v>
      </c>
      <c r="C62" s="12">
        <v>0.216351141</v>
      </c>
      <c r="D62" s="12">
        <v>-7.8794290000000003E-3</v>
      </c>
    </row>
    <row r="63" spans="1:4" x14ac:dyDescent="0.35">
      <c r="A63" s="1">
        <v>45727</v>
      </c>
      <c r="B63">
        <v>154.24</v>
      </c>
      <c r="C63" s="12">
        <v>-7.9219151000000002E-2</v>
      </c>
      <c r="D63" s="12">
        <v>-7.5923300000000004E-3</v>
      </c>
    </row>
    <row r="64" spans="1:4" x14ac:dyDescent="0.35">
      <c r="A64" s="1">
        <v>45858</v>
      </c>
      <c r="B64">
        <v>167.51</v>
      </c>
      <c r="C64" s="12">
        <v>0.212434858</v>
      </c>
      <c r="D64" s="12">
        <v>-7.4657819999999998E-3</v>
      </c>
    </row>
    <row r="65" spans="1:4" x14ac:dyDescent="0.35">
      <c r="A65" s="1">
        <v>45740</v>
      </c>
      <c r="B65">
        <v>138.16</v>
      </c>
      <c r="C65" s="12">
        <v>-8.5033112999999994E-2</v>
      </c>
      <c r="D65" s="12">
        <v>-7.3286389999999996E-3</v>
      </c>
    </row>
    <row r="66" spans="1:4" x14ac:dyDescent="0.35">
      <c r="A66" s="1">
        <v>45781</v>
      </c>
      <c r="B66">
        <v>151</v>
      </c>
      <c r="C66" s="12">
        <v>-1.3845349999999999E-2</v>
      </c>
      <c r="D66" s="12">
        <v>-7.2973509999999997E-3</v>
      </c>
    </row>
    <row r="67" spans="1:4" x14ac:dyDescent="0.35">
      <c r="A67" s="1">
        <v>45728</v>
      </c>
      <c r="B67">
        <v>153.12</v>
      </c>
      <c r="C67" s="12">
        <v>-3.2547850000000001E-3</v>
      </c>
      <c r="D67" s="12">
        <v>-7.2614109999999997E-3</v>
      </c>
    </row>
    <row r="68" spans="1:4" x14ac:dyDescent="0.35">
      <c r="A68" s="1">
        <v>45730</v>
      </c>
      <c r="B68">
        <v>153.62</v>
      </c>
      <c r="C68" s="12">
        <v>-0.11289484299999999</v>
      </c>
      <c r="D68" s="12">
        <v>-6.91706E-3</v>
      </c>
    </row>
    <row r="69" spans="1:4" x14ac:dyDescent="0.35">
      <c r="A69" s="1">
        <v>45893</v>
      </c>
      <c r="B69">
        <v>173.17</v>
      </c>
      <c r="C69" s="12">
        <v>3.8127211000000001E-2</v>
      </c>
      <c r="D69" s="12">
        <v>-6.2550210000000004E-3</v>
      </c>
    </row>
    <row r="70" spans="1:4" x14ac:dyDescent="0.35">
      <c r="A70" s="1">
        <v>45837</v>
      </c>
      <c r="B70">
        <v>166.81</v>
      </c>
      <c r="C70" s="12">
        <v>0.16830088200000001</v>
      </c>
      <c r="D70" s="12">
        <v>-6.1960080000000002E-3</v>
      </c>
    </row>
    <row r="71" spans="1:4" x14ac:dyDescent="0.35">
      <c r="A71" s="1">
        <v>45752</v>
      </c>
      <c r="B71">
        <v>142.78</v>
      </c>
      <c r="C71" s="12">
        <v>-0.100088239</v>
      </c>
      <c r="D71" s="12">
        <v>-6.1947520000000004E-3</v>
      </c>
    </row>
    <row r="72" spans="1:4" x14ac:dyDescent="0.35">
      <c r="A72" s="1">
        <v>45817</v>
      </c>
      <c r="B72">
        <v>158.66</v>
      </c>
      <c r="C72" s="12">
        <v>1.8291509000000001E-2</v>
      </c>
      <c r="D72" s="12">
        <v>-6.0142839999999999E-3</v>
      </c>
    </row>
    <row r="73" spans="1:4" x14ac:dyDescent="0.35">
      <c r="A73" s="1">
        <v>45725</v>
      </c>
      <c r="B73">
        <v>155.81</v>
      </c>
      <c r="C73" s="12">
        <v>-7.8701514E-2</v>
      </c>
      <c r="D73" s="12">
        <v>-5.8699670000000002E-3</v>
      </c>
    </row>
    <row r="74" spans="1:4" x14ac:dyDescent="0.35">
      <c r="A74" s="1">
        <v>45922</v>
      </c>
      <c r="B74">
        <v>169.12</v>
      </c>
      <c r="C74" s="12">
        <v>-0.101429255</v>
      </c>
      <c r="D74" s="12">
        <v>-5.5859350000000002E-3</v>
      </c>
    </row>
    <row r="75" spans="1:4" x14ac:dyDescent="0.35">
      <c r="A75" s="1">
        <v>45936</v>
      </c>
      <c r="B75">
        <v>188.21</v>
      </c>
      <c r="C75" s="12">
        <v>0.16423357699999999</v>
      </c>
      <c r="D75" s="12">
        <v>-5.4953759999999997E-3</v>
      </c>
    </row>
    <row r="76" spans="1:4" x14ac:dyDescent="0.35">
      <c r="A76" s="1">
        <v>45764</v>
      </c>
      <c r="B76">
        <v>161.66</v>
      </c>
      <c r="C76" s="12">
        <v>-3.1512102E-2</v>
      </c>
      <c r="D76" s="12">
        <v>-5.230447E-3</v>
      </c>
    </row>
    <row r="77" spans="1:4" x14ac:dyDescent="0.35">
      <c r="A77" s="1">
        <v>45905</v>
      </c>
      <c r="B77">
        <v>166.92</v>
      </c>
      <c r="C77" s="12">
        <v>4.4294293999999998E-2</v>
      </c>
      <c r="D77" s="12">
        <v>-5.12576E-3</v>
      </c>
    </row>
    <row r="78" spans="1:4" x14ac:dyDescent="0.35">
      <c r="A78" s="1">
        <v>45797</v>
      </c>
      <c r="B78">
        <v>159.84</v>
      </c>
      <c r="C78" s="12">
        <v>-4.7323877E-2</v>
      </c>
      <c r="D78" s="12">
        <v>-5.1039459999999998E-3</v>
      </c>
    </row>
    <row r="79" spans="1:4" x14ac:dyDescent="0.35">
      <c r="A79" s="1">
        <v>45904</v>
      </c>
      <c r="B79">
        <v>167.78</v>
      </c>
      <c r="C79" s="12">
        <v>0.102872543</v>
      </c>
      <c r="D79" s="12">
        <v>-5.0406210000000003E-3</v>
      </c>
    </row>
    <row r="80" spans="1:4" x14ac:dyDescent="0.35">
      <c r="A80" s="1">
        <v>45777</v>
      </c>
      <c r="B80">
        <v>152.13</v>
      </c>
      <c r="C80" s="12">
        <v>-0.105485976</v>
      </c>
      <c r="D80" s="12">
        <v>-4.970894E-3</v>
      </c>
    </row>
    <row r="81" spans="1:4" x14ac:dyDescent="0.35">
      <c r="A81" s="1">
        <v>45921</v>
      </c>
      <c r="B81">
        <v>170.07</v>
      </c>
      <c r="C81" s="12">
        <v>-1.7106860000000002E-2</v>
      </c>
      <c r="D81" s="12">
        <v>-4.8566410000000001E-3</v>
      </c>
    </row>
    <row r="82" spans="1:4" x14ac:dyDescent="0.35">
      <c r="A82" s="1">
        <v>45866</v>
      </c>
      <c r="B82">
        <v>173.03</v>
      </c>
      <c r="C82" s="12">
        <v>-6.1404936E-2</v>
      </c>
      <c r="D82" s="12">
        <v>-4.7739560000000002E-3</v>
      </c>
    </row>
    <row r="83" spans="1:4" x14ac:dyDescent="0.35">
      <c r="A83" s="1">
        <v>45881</v>
      </c>
      <c r="B83">
        <v>184.35</v>
      </c>
      <c r="C83" s="12">
        <v>6.8943523000000007E-2</v>
      </c>
      <c r="D83" s="12">
        <v>-4.5358819999999998E-3</v>
      </c>
    </row>
    <row r="84" spans="1:4" x14ac:dyDescent="0.35">
      <c r="A84" s="1">
        <v>45896</v>
      </c>
      <c r="B84">
        <v>172.46</v>
      </c>
      <c r="C84" s="12">
        <v>0.25818924599999998</v>
      </c>
      <c r="D84" s="12">
        <v>-4.3300040000000001E-3</v>
      </c>
    </row>
    <row r="85" spans="1:4" x14ac:dyDescent="0.35">
      <c r="A85" s="1">
        <v>45706</v>
      </c>
      <c r="B85">
        <v>137.07</v>
      </c>
      <c r="C85" s="12">
        <v>-0.205160916</v>
      </c>
      <c r="D85" s="12">
        <v>-4.2135849999999997E-3</v>
      </c>
    </row>
    <row r="86" spans="1:4" x14ac:dyDescent="0.35">
      <c r="A86" s="1">
        <v>45894</v>
      </c>
      <c r="B86">
        <v>172.45</v>
      </c>
      <c r="C86" s="12">
        <v>0.21872791499999999</v>
      </c>
      <c r="D86" s="12">
        <v>-4.1577640000000004E-3</v>
      </c>
    </row>
    <row r="87" spans="1:4" x14ac:dyDescent="0.35">
      <c r="A87" s="1">
        <v>45745</v>
      </c>
      <c r="B87">
        <v>141.5</v>
      </c>
      <c r="C87" s="12">
        <v>-0.174253035</v>
      </c>
      <c r="D87" s="12">
        <v>-4.012107E-3</v>
      </c>
    </row>
    <row r="88" spans="1:4" x14ac:dyDescent="0.35">
      <c r="A88" s="1">
        <v>45847</v>
      </c>
      <c r="B88">
        <v>171.36</v>
      </c>
      <c r="C88" s="12">
        <v>5.5172414000000003E-2</v>
      </c>
      <c r="D88" s="12">
        <v>-3.836763E-3</v>
      </c>
    </row>
    <row r="89" spans="1:4" x14ac:dyDescent="0.35">
      <c r="A89" s="1">
        <v>45793</v>
      </c>
      <c r="B89">
        <v>162.4</v>
      </c>
      <c r="C89" s="12">
        <v>-0.110478173</v>
      </c>
      <c r="D89" s="12">
        <v>-3.7421020000000002E-3</v>
      </c>
    </row>
    <row r="90" spans="1:4" x14ac:dyDescent="0.35">
      <c r="A90" s="1">
        <v>45934</v>
      </c>
      <c r="B90">
        <v>182.57</v>
      </c>
      <c r="C90" s="12">
        <v>5.7396038000000003E-2</v>
      </c>
      <c r="D90" s="12">
        <v>-3.656407E-3</v>
      </c>
    </row>
    <row r="91" spans="1:4" x14ac:dyDescent="0.35">
      <c r="A91" s="1">
        <v>45852</v>
      </c>
      <c r="B91">
        <v>172.66</v>
      </c>
      <c r="C91" s="12">
        <v>0.14306521</v>
      </c>
      <c r="D91" s="12">
        <v>-3.6355239999999998E-3</v>
      </c>
    </row>
    <row r="92" spans="1:4" x14ac:dyDescent="0.35">
      <c r="A92" s="1">
        <v>45714</v>
      </c>
      <c r="B92">
        <v>151.05000000000001</v>
      </c>
      <c r="C92" s="12">
        <v>-0.107427761</v>
      </c>
      <c r="D92" s="12">
        <v>-3.365004E-3</v>
      </c>
    </row>
    <row r="93" spans="1:4" x14ac:dyDescent="0.35">
      <c r="A93" s="1">
        <v>45845</v>
      </c>
      <c r="B93">
        <v>169.23</v>
      </c>
      <c r="C93" s="12">
        <v>0.112550128</v>
      </c>
      <c r="D93" s="12">
        <v>-3.2394860000000002E-3</v>
      </c>
    </row>
    <row r="94" spans="1:4" x14ac:dyDescent="0.35">
      <c r="A94" s="1">
        <v>45780</v>
      </c>
      <c r="B94">
        <v>152.11000000000001</v>
      </c>
      <c r="C94" s="12">
        <v>-0.11295777899999999</v>
      </c>
      <c r="D94" s="12">
        <v>-3.2110089999999999E-3</v>
      </c>
    </row>
    <row r="95" spans="1:4" x14ac:dyDescent="0.35">
      <c r="A95" s="1">
        <v>45849</v>
      </c>
      <c r="B95">
        <v>171.48</v>
      </c>
      <c r="C95" s="12">
        <v>8.8831037000000002E-2</v>
      </c>
      <c r="D95" s="12">
        <v>-3.1971170000000002E-3</v>
      </c>
    </row>
    <row r="96" spans="1:4" x14ac:dyDescent="0.35">
      <c r="A96" s="1">
        <v>45772</v>
      </c>
      <c r="B96">
        <v>157.49</v>
      </c>
      <c r="C96" s="12">
        <v>4.7837657999999998E-2</v>
      </c>
      <c r="D96" s="12">
        <v>-3.0385519999999999E-3</v>
      </c>
    </row>
    <row r="97" spans="1:4" x14ac:dyDescent="0.35">
      <c r="A97" s="1">
        <v>45716</v>
      </c>
      <c r="B97">
        <v>150.30000000000001</v>
      </c>
      <c r="C97" s="12">
        <v>-7.5133837999999994E-2</v>
      </c>
      <c r="D97" s="12">
        <v>-2.9850749999999998E-3</v>
      </c>
    </row>
    <row r="98" spans="1:4" x14ac:dyDescent="0.35">
      <c r="A98" s="1">
        <v>45763</v>
      </c>
      <c r="B98">
        <v>162.51</v>
      </c>
      <c r="C98" s="12">
        <v>3.3339509999999999E-3</v>
      </c>
      <c r="D98" s="12">
        <v>-2.8226050000000002E-3</v>
      </c>
    </row>
    <row r="99" spans="1:4" x14ac:dyDescent="0.35">
      <c r="A99" s="1">
        <v>45794</v>
      </c>
      <c r="B99">
        <v>161.97</v>
      </c>
      <c r="C99" s="12">
        <v>4.5274130000000001E-3</v>
      </c>
      <c r="D99" s="12">
        <v>-2.6477829999999999E-3</v>
      </c>
    </row>
    <row r="100" spans="1:4" x14ac:dyDescent="0.35">
      <c r="A100" s="1">
        <v>45765</v>
      </c>
      <c r="B100">
        <v>161.24</v>
      </c>
      <c r="C100" s="12">
        <v>-1.671723E-3</v>
      </c>
      <c r="D100" s="12">
        <v>-2.5980450000000002E-3</v>
      </c>
    </row>
    <row r="101" spans="1:4" x14ac:dyDescent="0.35">
      <c r="A101" s="1">
        <v>45827</v>
      </c>
      <c r="B101">
        <v>161.51</v>
      </c>
      <c r="C101" s="12">
        <v>3.9184146000000003E-2</v>
      </c>
      <c r="D101" s="12">
        <v>-2.5321150000000001E-3</v>
      </c>
    </row>
    <row r="102" spans="1:4" x14ac:dyDescent="0.35">
      <c r="A102" s="1">
        <v>45726</v>
      </c>
      <c r="B102">
        <v>155.41999999999999</v>
      </c>
      <c r="C102" s="12">
        <v>-0.141515687</v>
      </c>
      <c r="D102" s="12">
        <v>-2.5030489999999998E-3</v>
      </c>
    </row>
    <row r="103" spans="1:4" x14ac:dyDescent="0.35">
      <c r="A103" s="1">
        <v>45889</v>
      </c>
      <c r="B103">
        <v>181.04</v>
      </c>
      <c r="C103" s="12">
        <v>0.122450245</v>
      </c>
      <c r="D103" s="12">
        <v>-2.4245099999999999E-3</v>
      </c>
    </row>
    <row r="104" spans="1:4" x14ac:dyDescent="0.35">
      <c r="A104" s="1">
        <v>45761</v>
      </c>
      <c r="B104">
        <v>161.29</v>
      </c>
      <c r="C104" s="12">
        <v>-4.3381300000000002E-4</v>
      </c>
      <c r="D104" s="12">
        <v>-2.1653060000000001E-3</v>
      </c>
    </row>
    <row r="105" spans="1:4" x14ac:dyDescent="0.35">
      <c r="A105" s="1">
        <v>45812</v>
      </c>
      <c r="B105">
        <v>161.36000000000001</v>
      </c>
      <c r="C105" s="12">
        <v>7.0381425999999997E-2</v>
      </c>
      <c r="D105" s="12">
        <v>-2.0409429999999999E-3</v>
      </c>
    </row>
    <row r="106" spans="1:4" x14ac:dyDescent="0.35">
      <c r="A106" s="1">
        <v>45715</v>
      </c>
      <c r="B106">
        <v>150.75</v>
      </c>
      <c r="C106" s="12">
        <v>-7.3846532000000006E-2</v>
      </c>
      <c r="D106" s="12">
        <v>-1.986097E-3</v>
      </c>
    </row>
    <row r="107" spans="1:4" x14ac:dyDescent="0.35">
      <c r="A107" s="1">
        <v>45806</v>
      </c>
      <c r="B107">
        <v>162.77000000000001</v>
      </c>
      <c r="C107" s="12">
        <v>-5.5748926999999997E-2</v>
      </c>
      <c r="D107" s="12">
        <v>-1.6560349999999999E-3</v>
      </c>
    </row>
    <row r="108" spans="1:4" x14ac:dyDescent="0.35">
      <c r="A108" s="1">
        <v>45853</v>
      </c>
      <c r="B108">
        <v>172.38</v>
      </c>
      <c r="C108" s="12">
        <v>2.5007269999999999E-3</v>
      </c>
      <c r="D108" s="12">
        <v>-1.621684E-3</v>
      </c>
    </row>
    <row r="109" spans="1:4" x14ac:dyDescent="0.35">
      <c r="A109" s="1">
        <v>45873</v>
      </c>
      <c r="B109">
        <v>171.95</v>
      </c>
      <c r="C109" s="12">
        <v>0.28043785799999998</v>
      </c>
      <c r="D109" s="12">
        <v>-1.5677620000000001E-3</v>
      </c>
    </row>
    <row r="110" spans="1:4" x14ac:dyDescent="0.35">
      <c r="A110" s="1">
        <v>45700</v>
      </c>
      <c r="B110">
        <v>134.29</v>
      </c>
      <c r="C110" s="12">
        <v>-0.14990187999999999</v>
      </c>
      <c r="D110" s="12">
        <v>-1.3385890000000001E-3</v>
      </c>
    </row>
    <row r="111" spans="1:4" x14ac:dyDescent="0.35">
      <c r="A111" s="1">
        <v>45771</v>
      </c>
      <c r="B111">
        <v>157.97</v>
      </c>
      <c r="C111" s="12">
        <v>-6.3992415999999996E-2</v>
      </c>
      <c r="D111" s="12">
        <v>-1.3276010000000001E-3</v>
      </c>
    </row>
    <row r="112" spans="1:4" x14ac:dyDescent="0.35">
      <c r="A112" s="1">
        <v>45856</v>
      </c>
      <c r="B112">
        <v>168.77</v>
      </c>
      <c r="C112" s="12">
        <v>7.2781592000000006E-2</v>
      </c>
      <c r="D112" s="12">
        <v>-1.2427510000000001E-3</v>
      </c>
    </row>
    <row r="113" spans="1:4" x14ac:dyDescent="0.35">
      <c r="A113" s="1">
        <v>45773</v>
      </c>
      <c r="B113">
        <v>157.32</v>
      </c>
      <c r="C113" s="12">
        <v>-6.3348416000000005E-2</v>
      </c>
      <c r="D113" s="12">
        <v>-1.079434E-3</v>
      </c>
    </row>
    <row r="114" spans="1:4" x14ac:dyDescent="0.35">
      <c r="A114" s="1">
        <v>45902</v>
      </c>
      <c r="B114">
        <v>167.96</v>
      </c>
      <c r="C114" s="12">
        <v>-8.0527728000000007E-2</v>
      </c>
      <c r="D114" s="12">
        <v>-1.0111219999999999E-3</v>
      </c>
    </row>
    <row r="115" spans="1:4" x14ac:dyDescent="0.35">
      <c r="A115" s="1">
        <v>45884</v>
      </c>
      <c r="B115">
        <v>182.67</v>
      </c>
      <c r="C115" s="12">
        <v>9.5340888999999998E-2</v>
      </c>
      <c r="D115" s="12">
        <v>-9.2977499999999998E-4</v>
      </c>
    </row>
    <row r="116" spans="1:4" x14ac:dyDescent="0.35">
      <c r="A116" s="1">
        <v>45906</v>
      </c>
      <c r="B116">
        <v>166.77</v>
      </c>
      <c r="C116" s="12">
        <v>-2.6956065000000001E-2</v>
      </c>
      <c r="D116" s="12">
        <v>-8.9863400000000004E-4</v>
      </c>
    </row>
    <row r="117" spans="1:4" x14ac:dyDescent="0.35">
      <c r="A117" s="1">
        <v>45850</v>
      </c>
      <c r="B117">
        <v>171.39</v>
      </c>
      <c r="C117" s="12">
        <v>1.1687622E-2</v>
      </c>
      <c r="D117" s="12">
        <v>-5.2484299999999999E-4</v>
      </c>
    </row>
    <row r="118" spans="1:4" x14ac:dyDescent="0.35">
      <c r="A118" s="1">
        <v>45843</v>
      </c>
      <c r="B118">
        <v>169.41</v>
      </c>
      <c r="C118" s="12">
        <v>-8.7185490000000008E-3</v>
      </c>
      <c r="D118" s="12">
        <v>-1.1804299999999999E-4</v>
      </c>
    </row>
    <row r="119" spans="1:4" x14ac:dyDescent="0.35">
      <c r="A119" s="1">
        <v>45920</v>
      </c>
      <c r="B119">
        <v>170.9</v>
      </c>
      <c r="C119" s="12">
        <v>-7.2959045E-2</v>
      </c>
      <c r="D119" s="12">
        <v>0</v>
      </c>
    </row>
    <row r="120" spans="1:4" x14ac:dyDescent="0.35">
      <c r="A120" s="1">
        <v>45882</v>
      </c>
      <c r="B120">
        <v>184.35</v>
      </c>
      <c r="C120" s="12">
        <v>4.3529900000000003E-2</v>
      </c>
      <c r="D120" s="12">
        <v>0</v>
      </c>
    </row>
    <row r="121" spans="1:4" x14ac:dyDescent="0.35">
      <c r="A121" s="1">
        <v>45878</v>
      </c>
      <c r="B121">
        <v>176.66</v>
      </c>
      <c r="C121" s="12">
        <v>1.5287356E-2</v>
      </c>
      <c r="D121" s="12">
        <v>0</v>
      </c>
    </row>
    <row r="122" spans="1:4" x14ac:dyDescent="0.35">
      <c r="A122" s="1">
        <v>45871</v>
      </c>
      <c r="B122">
        <v>174</v>
      </c>
      <c r="C122" s="12">
        <v>4.3869779999999997E-3</v>
      </c>
      <c r="D122" s="12">
        <v>0</v>
      </c>
    </row>
    <row r="123" spans="1:4" x14ac:dyDescent="0.35">
      <c r="A123" s="1">
        <v>45869</v>
      </c>
      <c r="B123">
        <v>173.24</v>
      </c>
      <c r="C123" s="12">
        <v>1.8699283000000001E-2</v>
      </c>
      <c r="D123" s="12">
        <v>0</v>
      </c>
    </row>
    <row r="124" spans="1:4" x14ac:dyDescent="0.35">
      <c r="A124" s="1">
        <v>45861</v>
      </c>
      <c r="B124">
        <v>170.06</v>
      </c>
      <c r="C124" s="12">
        <v>7.6435390000000004E-3</v>
      </c>
      <c r="D124" s="12">
        <v>0</v>
      </c>
    </row>
    <row r="125" spans="1:4" x14ac:dyDescent="0.35">
      <c r="A125" s="1">
        <v>45857</v>
      </c>
      <c r="B125">
        <v>168.77</v>
      </c>
      <c r="C125" s="12">
        <v>1.1749895E-2</v>
      </c>
      <c r="D125" s="12">
        <v>0</v>
      </c>
    </row>
    <row r="126" spans="1:4" x14ac:dyDescent="0.35">
      <c r="A126" s="1">
        <v>45838</v>
      </c>
      <c r="B126">
        <v>166.81</v>
      </c>
      <c r="C126" s="12">
        <v>5.2097129999999998E-2</v>
      </c>
      <c r="D126" s="12">
        <v>0</v>
      </c>
    </row>
    <row r="127" spans="1:4" x14ac:dyDescent="0.35">
      <c r="A127" s="1">
        <v>45829</v>
      </c>
      <c r="B127">
        <v>158.55000000000001</v>
      </c>
      <c r="C127" s="12">
        <v>-1.784055E-2</v>
      </c>
      <c r="D127" s="12">
        <v>0</v>
      </c>
    </row>
    <row r="128" spans="1:4" x14ac:dyDescent="0.35">
      <c r="A128" s="1">
        <v>45809</v>
      </c>
      <c r="B128">
        <v>161.43</v>
      </c>
      <c r="C128" s="12">
        <v>9.9474469999999999E-3</v>
      </c>
      <c r="D128" s="12">
        <v>0</v>
      </c>
    </row>
    <row r="129" spans="1:4" x14ac:dyDescent="0.35">
      <c r="A129" s="1">
        <v>45798</v>
      </c>
      <c r="B129">
        <v>159.84</v>
      </c>
      <c r="C129" s="12">
        <v>-1.9627084999999999E-2</v>
      </c>
      <c r="D129" s="12">
        <v>0</v>
      </c>
    </row>
    <row r="130" spans="1:4" x14ac:dyDescent="0.35">
      <c r="A130" s="1">
        <v>45805</v>
      </c>
      <c r="B130">
        <v>163.04</v>
      </c>
      <c r="C130" s="12">
        <v>1.7854913E-2</v>
      </c>
      <c r="D130" s="12">
        <v>1.2268399999999999E-4</v>
      </c>
    </row>
    <row r="131" spans="1:4" x14ac:dyDescent="0.35">
      <c r="A131" s="1">
        <v>45822</v>
      </c>
      <c r="B131">
        <v>160.18</v>
      </c>
      <c r="C131" s="12">
        <v>1.6564066999999998E-2</v>
      </c>
      <c r="D131" s="12">
        <v>1.2487500000000001E-4</v>
      </c>
    </row>
    <row r="132" spans="1:4" x14ac:dyDescent="0.35">
      <c r="A132" s="1">
        <v>45758</v>
      </c>
      <c r="B132">
        <v>157.57</v>
      </c>
      <c r="C132" s="12">
        <v>-5.0268218000000003E-2</v>
      </c>
      <c r="D132" s="12">
        <v>1.2694400000000001E-4</v>
      </c>
    </row>
    <row r="133" spans="1:4" x14ac:dyDescent="0.35">
      <c r="A133" s="1">
        <v>45791</v>
      </c>
      <c r="B133">
        <v>165.91</v>
      </c>
      <c r="C133" s="12">
        <v>-0.118765603</v>
      </c>
      <c r="D133" s="12">
        <v>1.8085399999999999E-4</v>
      </c>
    </row>
    <row r="134" spans="1:4" x14ac:dyDescent="0.35">
      <c r="A134" s="1">
        <v>45937</v>
      </c>
      <c r="B134">
        <v>188.27</v>
      </c>
      <c r="C134" s="12">
        <v>0.17948878600000001</v>
      </c>
      <c r="D134" s="12">
        <v>3.18793E-4</v>
      </c>
    </row>
    <row r="135" spans="1:4" x14ac:dyDescent="0.35">
      <c r="A135" s="1">
        <v>45816</v>
      </c>
      <c r="B135">
        <v>159.62</v>
      </c>
      <c r="C135" s="12">
        <v>-0.120454045</v>
      </c>
      <c r="D135" s="12">
        <v>3.7603400000000003E-4</v>
      </c>
    </row>
    <row r="136" spans="1:4" x14ac:dyDescent="0.35">
      <c r="A136" s="1">
        <v>45888</v>
      </c>
      <c r="B136">
        <v>181.48</v>
      </c>
      <c r="C136" s="12">
        <v>0.32331923600000001</v>
      </c>
      <c r="D136" s="12">
        <v>6.0649499999999997E-4</v>
      </c>
    </row>
    <row r="137" spans="1:4" x14ac:dyDescent="0.35">
      <c r="A137" s="1">
        <v>45738</v>
      </c>
      <c r="B137">
        <v>137.13999999999999</v>
      </c>
      <c r="C137" s="12">
        <v>-0.12954617600000001</v>
      </c>
      <c r="D137" s="12">
        <v>1.2411480000000001E-3</v>
      </c>
    </row>
    <row r="138" spans="1:4" x14ac:dyDescent="0.35">
      <c r="A138" s="1">
        <v>45757</v>
      </c>
      <c r="B138">
        <v>157.55000000000001</v>
      </c>
      <c r="C138" s="12">
        <v>-9.6824122999999998E-2</v>
      </c>
      <c r="D138" s="12">
        <v>1.2710519999999999E-3</v>
      </c>
    </row>
    <row r="139" spans="1:4" x14ac:dyDescent="0.35">
      <c r="A139" s="1">
        <v>45876</v>
      </c>
      <c r="B139">
        <v>174.44</v>
      </c>
      <c r="C139" s="12">
        <v>2.9569734E-2</v>
      </c>
      <c r="D139" s="12">
        <v>1.607717E-3</v>
      </c>
    </row>
    <row r="140" spans="1:4" x14ac:dyDescent="0.35">
      <c r="A140" s="1">
        <v>45842</v>
      </c>
      <c r="B140">
        <v>169.43</v>
      </c>
      <c r="C140" s="12">
        <v>0.25932808099999999</v>
      </c>
      <c r="D140" s="12">
        <v>1.6553360000000001E-3</v>
      </c>
    </row>
    <row r="141" spans="1:4" x14ac:dyDescent="0.35">
      <c r="A141" s="1">
        <v>45701</v>
      </c>
      <c r="B141">
        <v>134.54</v>
      </c>
      <c r="C141" s="12">
        <v>-0.15944021</v>
      </c>
      <c r="D141" s="12">
        <v>1.8616430000000001E-3</v>
      </c>
    </row>
    <row r="142" spans="1:4" x14ac:dyDescent="0.35">
      <c r="A142" s="1">
        <v>45789</v>
      </c>
      <c r="B142">
        <v>160.06</v>
      </c>
      <c r="C142" s="12">
        <v>-5.3739284999999998E-2</v>
      </c>
      <c r="D142" s="12">
        <v>1.8778169999999999E-3</v>
      </c>
    </row>
    <row r="143" spans="1:4" x14ac:dyDescent="0.35">
      <c r="A143" s="1">
        <v>45841</v>
      </c>
      <c r="B143">
        <v>169.15</v>
      </c>
      <c r="C143" s="12">
        <v>1.2207528E-2</v>
      </c>
      <c r="D143" s="12">
        <v>1.9547449999999999E-3</v>
      </c>
    </row>
    <row r="144" spans="1:4" x14ac:dyDescent="0.35">
      <c r="A144" s="1">
        <v>45907</v>
      </c>
      <c r="B144">
        <v>167.11</v>
      </c>
      <c r="C144" s="12">
        <v>-1.5726233999999999E-2</v>
      </c>
      <c r="D144" s="12">
        <v>2.0387360000000002E-3</v>
      </c>
    </row>
    <row r="145" spans="1:4" x14ac:dyDescent="0.35">
      <c r="A145" s="1">
        <v>45844</v>
      </c>
      <c r="B145">
        <v>169.78</v>
      </c>
      <c r="C145" s="12">
        <v>0.19968909000000001</v>
      </c>
      <c r="D145" s="12">
        <v>2.1840509999999998E-3</v>
      </c>
    </row>
    <row r="146" spans="1:4" x14ac:dyDescent="0.35">
      <c r="A146" s="1">
        <v>45742</v>
      </c>
      <c r="B146">
        <v>141.52000000000001</v>
      </c>
      <c r="C146" s="12">
        <v>-0.23995703500000001</v>
      </c>
      <c r="D146" s="12">
        <v>2.5502979999999999E-3</v>
      </c>
    </row>
    <row r="147" spans="1:4" x14ac:dyDescent="0.35">
      <c r="A147" s="1">
        <v>45929</v>
      </c>
      <c r="B147">
        <v>186.2</v>
      </c>
      <c r="C147" s="12">
        <v>0.170774648</v>
      </c>
      <c r="D147" s="12">
        <v>2.5845360000000001E-3</v>
      </c>
    </row>
    <row r="148" spans="1:4" x14ac:dyDescent="0.35">
      <c r="A148" s="1">
        <v>45721</v>
      </c>
      <c r="B148">
        <v>159.04</v>
      </c>
      <c r="C148" s="12">
        <v>-7.5026172000000002E-2</v>
      </c>
      <c r="D148" s="12">
        <v>2.7742750000000001E-3</v>
      </c>
    </row>
    <row r="149" spans="1:4" x14ac:dyDescent="0.35">
      <c r="A149" s="1">
        <v>45863</v>
      </c>
      <c r="B149">
        <v>171.94</v>
      </c>
      <c r="C149" s="12">
        <v>9.3929789999999992E-3</v>
      </c>
      <c r="D149" s="12">
        <v>2.9749749999999999E-3</v>
      </c>
    </row>
    <row r="150" spans="1:4" x14ac:dyDescent="0.35">
      <c r="A150" s="1">
        <v>45915</v>
      </c>
      <c r="B150">
        <v>170.34</v>
      </c>
      <c r="C150" s="12">
        <v>0.117496556</v>
      </c>
      <c r="D150" s="12">
        <v>3.0030030000000002E-3</v>
      </c>
    </row>
    <row r="151" spans="1:4" x14ac:dyDescent="0.35">
      <c r="A151" s="1">
        <v>45783</v>
      </c>
      <c r="B151">
        <v>152.43</v>
      </c>
      <c r="C151" s="12">
        <v>-9.9219950000000001E-2</v>
      </c>
      <c r="D151" s="12">
        <v>3.026913E-3</v>
      </c>
    </row>
    <row r="152" spans="1:4" x14ac:dyDescent="0.35">
      <c r="A152" s="1">
        <v>45918</v>
      </c>
      <c r="B152">
        <v>169.22</v>
      </c>
      <c r="C152" s="12">
        <v>3.141858E-3</v>
      </c>
      <c r="D152" s="12">
        <v>3.141858E-3</v>
      </c>
    </row>
    <row r="153" spans="1:4" x14ac:dyDescent="0.35">
      <c r="A153" s="1">
        <v>45917</v>
      </c>
      <c r="B153">
        <v>168.69</v>
      </c>
      <c r="C153" s="12">
        <v>6.4155941999999994E-2</v>
      </c>
      <c r="D153" s="12">
        <v>3.3904349999999998E-3</v>
      </c>
    </row>
    <row r="154" spans="1:4" x14ac:dyDescent="0.35">
      <c r="A154" s="1">
        <v>45820</v>
      </c>
      <c r="B154">
        <v>158.52000000000001</v>
      </c>
      <c r="C154" s="12">
        <v>-1.1967090999999999E-2</v>
      </c>
      <c r="D154" s="12">
        <v>3.6087369999999999E-3</v>
      </c>
    </row>
    <row r="155" spans="1:4" x14ac:dyDescent="0.35">
      <c r="A155" s="1">
        <v>45799</v>
      </c>
      <c r="B155">
        <v>160.44</v>
      </c>
      <c r="C155" s="12">
        <v>6.3361611999999998E-2</v>
      </c>
      <c r="D155" s="12">
        <v>3.7537540000000002E-3</v>
      </c>
    </row>
    <row r="156" spans="1:4" x14ac:dyDescent="0.35">
      <c r="A156" s="1">
        <v>45717</v>
      </c>
      <c r="B156">
        <v>150.88</v>
      </c>
      <c r="C156" s="12">
        <v>-0.122943673</v>
      </c>
      <c r="D156" s="12">
        <v>3.858949E-3</v>
      </c>
    </row>
    <row r="157" spans="1:4" x14ac:dyDescent="0.35">
      <c r="A157" s="1">
        <v>45848</v>
      </c>
      <c r="B157">
        <v>172.03</v>
      </c>
      <c r="C157" s="12">
        <v>2.0162486E-2</v>
      </c>
      <c r="D157" s="12">
        <v>3.9098969999999999E-3</v>
      </c>
    </row>
    <row r="158" spans="1:4" x14ac:dyDescent="0.35">
      <c r="A158" s="1">
        <v>45903</v>
      </c>
      <c r="B158">
        <v>168.63</v>
      </c>
      <c r="C158" s="12">
        <v>3.4412955000000002E-2</v>
      </c>
      <c r="D158" s="12">
        <v>3.9890450000000001E-3</v>
      </c>
    </row>
    <row r="159" spans="1:4" x14ac:dyDescent="0.35">
      <c r="A159" s="1">
        <v>45804</v>
      </c>
      <c r="B159">
        <v>163.02000000000001</v>
      </c>
      <c r="C159" s="12">
        <v>0.190187632</v>
      </c>
      <c r="D159" s="12">
        <v>4.0032030000000003E-3</v>
      </c>
    </row>
    <row r="160" spans="1:4" x14ac:dyDescent="0.35">
      <c r="A160" s="1">
        <v>45737</v>
      </c>
      <c r="B160">
        <v>136.97</v>
      </c>
      <c r="C160" s="12">
        <v>-0.16216050900000001</v>
      </c>
      <c r="D160" s="12">
        <v>4.1052709999999997E-3</v>
      </c>
    </row>
    <row r="161" spans="1:4" x14ac:dyDescent="0.35">
      <c r="A161" s="1">
        <v>45807</v>
      </c>
      <c r="B161">
        <v>163.47999999999999</v>
      </c>
      <c r="C161" s="12">
        <v>-6.0459770000000003E-2</v>
      </c>
      <c r="D161" s="12">
        <v>4.3619829999999998E-3</v>
      </c>
    </row>
    <row r="162" spans="1:4" x14ac:dyDescent="0.35">
      <c r="A162" s="1">
        <v>45870</v>
      </c>
      <c r="B162">
        <v>174</v>
      </c>
      <c r="C162" s="12">
        <v>4.5609379999999996E-3</v>
      </c>
      <c r="D162" s="12">
        <v>4.3869779999999997E-3</v>
      </c>
    </row>
    <row r="163" spans="1:4" x14ac:dyDescent="0.35">
      <c r="A163" s="1">
        <v>45895</v>
      </c>
      <c r="B163">
        <v>173.21</v>
      </c>
      <c r="C163" s="12">
        <v>-6.0734233999999998E-2</v>
      </c>
      <c r="D163" s="12">
        <v>4.4070749999999999E-3</v>
      </c>
    </row>
    <row r="164" spans="1:4" x14ac:dyDescent="0.35">
      <c r="A164" s="1">
        <v>45939</v>
      </c>
      <c r="B164">
        <v>184.41</v>
      </c>
      <c r="C164" s="12">
        <v>0.17901668700000001</v>
      </c>
      <c r="D164" s="12">
        <v>4.6306380000000003E-3</v>
      </c>
    </row>
    <row r="165" spans="1:4" x14ac:dyDescent="0.35">
      <c r="A165" s="1">
        <v>45775</v>
      </c>
      <c r="B165">
        <v>156.41</v>
      </c>
      <c r="C165" s="12">
        <v>-9.4744761999999996E-2</v>
      </c>
      <c r="D165" s="12">
        <v>4.6891060000000002E-3</v>
      </c>
    </row>
    <row r="166" spans="1:4" x14ac:dyDescent="0.35">
      <c r="A166" s="1">
        <v>45874</v>
      </c>
      <c r="B166">
        <v>172.78</v>
      </c>
      <c r="C166" s="12">
        <v>3.0415075999999999E-2</v>
      </c>
      <c r="D166" s="12">
        <v>4.8269849999999998E-3</v>
      </c>
    </row>
    <row r="167" spans="1:4" x14ac:dyDescent="0.35">
      <c r="A167" s="1">
        <v>45839</v>
      </c>
      <c r="B167">
        <v>167.68</v>
      </c>
      <c r="C167" s="12">
        <v>6.0058161999999998E-2</v>
      </c>
      <c r="D167" s="12">
        <v>5.2155150000000004E-3</v>
      </c>
    </row>
    <row r="168" spans="1:4" x14ac:dyDescent="0.35">
      <c r="A168" s="1">
        <v>45770</v>
      </c>
      <c r="B168">
        <v>158.18</v>
      </c>
      <c r="C168" s="12">
        <v>-0.135061242</v>
      </c>
      <c r="D168" s="12">
        <v>5.2748650000000001E-3</v>
      </c>
    </row>
    <row r="169" spans="1:4" x14ac:dyDescent="0.35">
      <c r="A169" s="1">
        <v>45927</v>
      </c>
      <c r="B169">
        <v>182.88</v>
      </c>
      <c r="C169" s="12">
        <v>0.18384256900000001</v>
      </c>
      <c r="D169" s="12">
        <v>5.4428499999999999E-3</v>
      </c>
    </row>
    <row r="170" spans="1:4" x14ac:dyDescent="0.35">
      <c r="A170" s="1">
        <v>45833</v>
      </c>
      <c r="B170">
        <v>154.47999999999999</v>
      </c>
      <c r="C170" s="12">
        <v>0.108655088</v>
      </c>
      <c r="D170" s="12">
        <v>5.5327739999999999E-3</v>
      </c>
    </row>
    <row r="171" spans="1:4" x14ac:dyDescent="0.35">
      <c r="A171" s="1">
        <v>45710</v>
      </c>
      <c r="B171">
        <v>139.34</v>
      </c>
      <c r="C171" s="12">
        <v>-0.13694642300000001</v>
      </c>
      <c r="D171" s="12">
        <v>5.5567580000000002E-3</v>
      </c>
    </row>
    <row r="172" spans="1:4" x14ac:dyDescent="0.35">
      <c r="A172" s="1">
        <v>45787</v>
      </c>
      <c r="B172">
        <v>161.44999999999999</v>
      </c>
      <c r="C172" s="12">
        <v>-6.6061201999999999E-2</v>
      </c>
      <c r="D172" s="12">
        <v>5.6683690000000004E-3</v>
      </c>
    </row>
    <row r="173" spans="1:4" x14ac:dyDescent="0.35">
      <c r="A173" s="1">
        <v>45913</v>
      </c>
      <c r="B173">
        <v>172.87</v>
      </c>
      <c r="C173" s="12">
        <v>3.9319424999999998E-2</v>
      </c>
      <c r="D173" s="12">
        <v>5.7013209999999996E-3</v>
      </c>
    </row>
    <row r="174" spans="1:4" x14ac:dyDescent="0.35">
      <c r="A174" s="1">
        <v>45899</v>
      </c>
      <c r="B174">
        <v>166.33</v>
      </c>
      <c r="C174" s="12">
        <v>9.5645873000000006E-2</v>
      </c>
      <c r="D174" s="12">
        <v>5.8659890000000003E-3</v>
      </c>
    </row>
    <row r="175" spans="1:4" x14ac:dyDescent="0.35">
      <c r="A175" s="1">
        <v>45718</v>
      </c>
      <c r="B175">
        <v>151.81</v>
      </c>
      <c r="C175" s="12">
        <v>0.16525944100000001</v>
      </c>
      <c r="D175" s="12">
        <v>6.1638389999999999E-3</v>
      </c>
    </row>
    <row r="176" spans="1:4" x14ac:dyDescent="0.35">
      <c r="A176" s="1">
        <v>45733</v>
      </c>
      <c r="B176">
        <v>130.28</v>
      </c>
      <c r="C176" s="12">
        <v>-0.18406713799999999</v>
      </c>
      <c r="D176" s="12">
        <v>6.1785599999999996E-3</v>
      </c>
    </row>
    <row r="177" spans="1:4" x14ac:dyDescent="0.35">
      <c r="A177" s="1">
        <v>45818</v>
      </c>
      <c r="B177">
        <v>159.66999999999999</v>
      </c>
      <c r="C177" s="12">
        <v>0.123803491</v>
      </c>
      <c r="D177" s="12">
        <v>6.365814E-3</v>
      </c>
    </row>
    <row r="178" spans="1:4" x14ac:dyDescent="0.35">
      <c r="A178" s="1">
        <v>45748</v>
      </c>
      <c r="B178">
        <v>142.08000000000001</v>
      </c>
      <c r="C178" s="12">
        <v>-6.5078633999999996E-2</v>
      </c>
      <c r="D178" s="12">
        <v>6.374841E-3</v>
      </c>
    </row>
    <row r="179" spans="1:4" x14ac:dyDescent="0.35">
      <c r="A179" s="1">
        <v>45782</v>
      </c>
      <c r="B179">
        <v>151.97</v>
      </c>
      <c r="C179" s="12">
        <v>-9.9810448999999996E-2</v>
      </c>
      <c r="D179" s="12">
        <v>6.4238409999999996E-3</v>
      </c>
    </row>
    <row r="180" spans="1:4" x14ac:dyDescent="0.35">
      <c r="A180" s="1">
        <v>45840</v>
      </c>
      <c r="B180">
        <v>168.82</v>
      </c>
      <c r="C180" s="12">
        <v>5.7570631999999997E-2</v>
      </c>
      <c r="D180" s="12">
        <v>6.7986640000000003E-3</v>
      </c>
    </row>
    <row r="181" spans="1:4" x14ac:dyDescent="0.35">
      <c r="A181" s="1">
        <v>45830</v>
      </c>
      <c r="B181">
        <v>159.63</v>
      </c>
      <c r="C181" s="12">
        <v>5.9234989999999996E-3</v>
      </c>
      <c r="D181" s="12">
        <v>6.8117309999999997E-3</v>
      </c>
    </row>
    <row r="182" spans="1:4" x14ac:dyDescent="0.35">
      <c r="A182" s="1">
        <v>45759</v>
      </c>
      <c r="B182">
        <v>158.69</v>
      </c>
      <c r="C182" s="12">
        <v>1.70433E-3</v>
      </c>
      <c r="D182" s="12">
        <v>7.1079519999999998E-3</v>
      </c>
    </row>
    <row r="183" spans="1:4" x14ac:dyDescent="0.35">
      <c r="A183" s="1">
        <v>45723</v>
      </c>
      <c r="B183">
        <v>158.41999999999999</v>
      </c>
      <c r="C183" s="12">
        <v>0.178720238</v>
      </c>
      <c r="D183" s="12">
        <v>7.2482199999999997E-3</v>
      </c>
    </row>
    <row r="184" spans="1:4" x14ac:dyDescent="0.35">
      <c r="A184" s="1">
        <v>45692</v>
      </c>
      <c r="B184">
        <v>134.4</v>
      </c>
      <c r="C184" s="12">
        <v>-0.113222486</v>
      </c>
      <c r="D184" s="12">
        <v>7.3452259999999998E-3</v>
      </c>
    </row>
    <row r="185" spans="1:4" x14ac:dyDescent="0.35">
      <c r="A185" s="1">
        <v>45713</v>
      </c>
      <c r="B185">
        <v>151.56</v>
      </c>
      <c r="C185" s="12">
        <v>7.3523162000000003E-2</v>
      </c>
      <c r="D185" s="12">
        <v>7.444829E-3</v>
      </c>
    </row>
    <row r="186" spans="1:4" x14ac:dyDescent="0.35">
      <c r="A186" s="1">
        <v>45747</v>
      </c>
      <c r="B186">
        <v>141.18</v>
      </c>
      <c r="C186" s="12">
        <v>-0.18936610000000001</v>
      </c>
      <c r="D186" s="12">
        <v>7.8526559999999995E-3</v>
      </c>
    </row>
    <row r="187" spans="1:4" x14ac:dyDescent="0.35">
      <c r="A187" s="1">
        <v>45875</v>
      </c>
      <c r="B187">
        <v>174.16</v>
      </c>
      <c r="C187" s="12">
        <v>9.3763737999999999E-2</v>
      </c>
      <c r="D187" s="12">
        <v>7.9870359999999994E-3</v>
      </c>
    </row>
    <row r="188" spans="1:4" x14ac:dyDescent="0.35">
      <c r="A188" s="1">
        <v>45825</v>
      </c>
      <c r="B188">
        <v>159.22999999999999</v>
      </c>
      <c r="C188" s="12">
        <v>-7.1166073999999996E-2</v>
      </c>
      <c r="D188" s="12">
        <v>8.0400100000000002E-3</v>
      </c>
    </row>
    <row r="189" spans="1:4" x14ac:dyDescent="0.35">
      <c r="A189" s="1">
        <v>45862</v>
      </c>
      <c r="B189">
        <v>171.43</v>
      </c>
      <c r="C189" s="12">
        <v>-0.115656435</v>
      </c>
      <c r="D189" s="12">
        <v>8.0559800000000008E-3</v>
      </c>
    </row>
    <row r="190" spans="1:4" x14ac:dyDescent="0.35">
      <c r="A190" s="1">
        <v>45943</v>
      </c>
      <c r="B190">
        <v>193.85</v>
      </c>
      <c r="C190" s="12">
        <v>0.427887448</v>
      </c>
      <c r="D190" s="12">
        <v>8.1651759999999997E-3</v>
      </c>
    </row>
    <row r="191" spans="1:4" x14ac:dyDescent="0.35">
      <c r="A191" s="1">
        <v>45702</v>
      </c>
      <c r="B191">
        <v>135.76</v>
      </c>
      <c r="C191" s="12">
        <v>-0.19659131299999999</v>
      </c>
      <c r="D191" s="12">
        <v>9.0679349999999992E-3</v>
      </c>
    </row>
    <row r="192" spans="1:4" x14ac:dyDescent="0.35">
      <c r="A192" s="1">
        <v>45855</v>
      </c>
      <c r="B192">
        <v>168.98</v>
      </c>
      <c r="C192" s="12">
        <v>4.1607593999999998E-2</v>
      </c>
      <c r="D192" s="12">
        <v>9.4384710000000004E-3</v>
      </c>
    </row>
    <row r="193" spans="1:4" x14ac:dyDescent="0.35">
      <c r="A193" s="1">
        <v>45910</v>
      </c>
      <c r="B193">
        <v>162.22999999999999</v>
      </c>
      <c r="C193" s="12">
        <v>-5.0731421999999998E-2</v>
      </c>
      <c r="D193" s="12">
        <v>9.7093419999999993E-3</v>
      </c>
    </row>
    <row r="194" spans="1:4" x14ac:dyDescent="0.35">
      <c r="A194" s="1">
        <v>45919</v>
      </c>
      <c r="B194">
        <v>170.9</v>
      </c>
      <c r="C194" s="12">
        <v>0.23331168399999999</v>
      </c>
      <c r="D194" s="12">
        <v>9.9279050000000008E-3</v>
      </c>
    </row>
    <row r="195" spans="1:4" x14ac:dyDescent="0.35">
      <c r="A195" s="1">
        <v>45709</v>
      </c>
      <c r="B195">
        <v>138.57</v>
      </c>
      <c r="C195" s="12">
        <v>-0.238165924</v>
      </c>
      <c r="D195" s="12">
        <v>9.9854230000000002E-3</v>
      </c>
    </row>
    <row r="196" spans="1:4" x14ac:dyDescent="0.35">
      <c r="A196" s="1">
        <v>45926</v>
      </c>
      <c r="B196">
        <v>181.89</v>
      </c>
      <c r="C196" s="12">
        <v>0.17583554200000001</v>
      </c>
      <c r="D196" s="12">
        <v>1.0051088E-2</v>
      </c>
    </row>
    <row r="197" spans="1:4" x14ac:dyDescent="0.35">
      <c r="A197" s="1">
        <v>45729</v>
      </c>
      <c r="B197">
        <v>154.69</v>
      </c>
      <c r="C197" s="12">
        <v>-1.087026E-2</v>
      </c>
      <c r="D197" s="12">
        <v>1.0253396E-2</v>
      </c>
    </row>
    <row r="198" spans="1:4" x14ac:dyDescent="0.35">
      <c r="A198" s="1">
        <v>45785</v>
      </c>
      <c r="B198">
        <v>156.38999999999999</v>
      </c>
      <c r="C198" s="12">
        <v>-2.3538961000000001E-2</v>
      </c>
      <c r="D198" s="12">
        <v>1.0336585000000001E-2</v>
      </c>
    </row>
    <row r="199" spans="1:4" x14ac:dyDescent="0.35">
      <c r="A199" s="1">
        <v>45821</v>
      </c>
      <c r="B199">
        <v>160.16</v>
      </c>
      <c r="C199" s="12">
        <v>-1.7242436999999999E-2</v>
      </c>
      <c r="D199" s="12">
        <v>1.0345698E-2</v>
      </c>
    </row>
    <row r="200" spans="1:4" x14ac:dyDescent="0.35">
      <c r="A200" s="1">
        <v>45762</v>
      </c>
      <c r="B200">
        <v>162.97</v>
      </c>
      <c r="C200" s="12">
        <v>1.4378190000000001E-2</v>
      </c>
      <c r="D200" s="12">
        <v>1.0416020999999999E-2</v>
      </c>
    </row>
    <row r="201" spans="1:4" x14ac:dyDescent="0.35">
      <c r="A201" s="1">
        <v>45796</v>
      </c>
      <c r="B201">
        <v>160.66</v>
      </c>
      <c r="C201" s="12">
        <v>0.10041095899999999</v>
      </c>
      <c r="D201" s="12">
        <v>1.0440252000000001E-2</v>
      </c>
    </row>
    <row r="202" spans="1:4" x14ac:dyDescent="0.35">
      <c r="A202" s="1">
        <v>45750</v>
      </c>
      <c r="B202">
        <v>146</v>
      </c>
      <c r="C202" s="12">
        <v>-6.5121341999999999E-2</v>
      </c>
      <c r="D202" s="12">
        <v>1.0800331999999999E-2</v>
      </c>
    </row>
    <row r="203" spans="1:4" x14ac:dyDescent="0.35">
      <c r="A203" s="1">
        <v>45834</v>
      </c>
      <c r="B203">
        <v>156.16999999999999</v>
      </c>
      <c r="C203" s="12">
        <v>-9.8793929000000003E-2</v>
      </c>
      <c r="D203" s="12">
        <v>1.0939927E-2</v>
      </c>
    </row>
    <row r="204" spans="1:4" x14ac:dyDescent="0.35">
      <c r="A204" s="1">
        <v>45851</v>
      </c>
      <c r="B204">
        <v>173.29</v>
      </c>
      <c r="C204" s="12">
        <v>6.2346738999999998E-2</v>
      </c>
      <c r="D204" s="12">
        <v>1.1085828000000001E-2</v>
      </c>
    </row>
    <row r="205" spans="1:4" x14ac:dyDescent="0.35">
      <c r="A205" s="1">
        <v>45766</v>
      </c>
      <c r="B205">
        <v>163.12</v>
      </c>
      <c r="C205" s="12">
        <v>0.17614824400000001</v>
      </c>
      <c r="D205" s="12">
        <v>1.1659638E-2</v>
      </c>
    </row>
    <row r="206" spans="1:4" x14ac:dyDescent="0.35">
      <c r="A206" s="1">
        <v>45707</v>
      </c>
      <c r="B206">
        <v>138.69</v>
      </c>
      <c r="C206" s="12">
        <v>3.9499325000000002E-2</v>
      </c>
      <c r="D206" s="12">
        <v>1.1818779E-2</v>
      </c>
    </row>
    <row r="207" spans="1:4" x14ac:dyDescent="0.35">
      <c r="A207" s="1">
        <v>45691</v>
      </c>
      <c r="B207">
        <v>133.41999999999999</v>
      </c>
      <c r="C207" s="12">
        <v>-0.17484074499999999</v>
      </c>
      <c r="D207" s="12">
        <v>1.2137764000000001E-2</v>
      </c>
    </row>
    <row r="208" spans="1:4" x14ac:dyDescent="0.35">
      <c r="A208" s="1">
        <v>45811</v>
      </c>
      <c r="B208">
        <v>161.69</v>
      </c>
      <c r="C208" s="12">
        <v>-8.4739046999999998E-2</v>
      </c>
      <c r="D208" s="12">
        <v>1.2587675E-2</v>
      </c>
    </row>
    <row r="209" spans="1:4" x14ac:dyDescent="0.35">
      <c r="A209" s="1">
        <v>45877</v>
      </c>
      <c r="B209">
        <v>176.66</v>
      </c>
      <c r="C209" s="12">
        <v>0.122720051</v>
      </c>
      <c r="D209" s="12">
        <v>1.2726439000000001E-2</v>
      </c>
    </row>
    <row r="210" spans="1:4" x14ac:dyDescent="0.35">
      <c r="A210" s="1">
        <v>45756</v>
      </c>
      <c r="B210">
        <v>157.35</v>
      </c>
      <c r="C210" s="12">
        <v>2.0626581000000001E-2</v>
      </c>
      <c r="D210" s="12">
        <v>1.3135020000000001E-2</v>
      </c>
    </row>
    <row r="211" spans="1:4" x14ac:dyDescent="0.35">
      <c r="A211" s="1">
        <v>45778</v>
      </c>
      <c r="B211">
        <v>154.16999999999999</v>
      </c>
      <c r="C211" s="12">
        <v>-2.6643096000000002E-2</v>
      </c>
      <c r="D211" s="12">
        <v>1.3409584E-2</v>
      </c>
    </row>
    <row r="212" spans="1:4" x14ac:dyDescent="0.35">
      <c r="A212" s="1">
        <v>45835</v>
      </c>
      <c r="B212">
        <v>158.38999999999999</v>
      </c>
      <c r="C212" s="12">
        <v>0.138022704</v>
      </c>
      <c r="D212" s="12">
        <v>1.4215278E-2</v>
      </c>
    </row>
    <row r="213" spans="1:4" x14ac:dyDescent="0.35">
      <c r="A213" s="1">
        <v>45739</v>
      </c>
      <c r="B213">
        <v>139.18</v>
      </c>
      <c r="C213" s="12">
        <v>-0.14282195</v>
      </c>
      <c r="D213" s="12">
        <v>1.4875309999999999E-2</v>
      </c>
    </row>
    <row r="214" spans="1:4" x14ac:dyDescent="0.35">
      <c r="A214" s="1">
        <v>45803</v>
      </c>
      <c r="B214">
        <v>162.37</v>
      </c>
      <c r="C214" s="12">
        <v>4.8969572000000003E-2</v>
      </c>
      <c r="D214" s="12">
        <v>1.5447153999999999E-2</v>
      </c>
    </row>
    <row r="215" spans="1:4" x14ac:dyDescent="0.35">
      <c r="A215" s="1">
        <v>45784</v>
      </c>
      <c r="B215">
        <v>154.79</v>
      </c>
      <c r="C215" s="12">
        <v>-0.16654103000000001</v>
      </c>
      <c r="D215" s="12">
        <v>1.5482516999999999E-2</v>
      </c>
    </row>
    <row r="216" spans="1:4" x14ac:dyDescent="0.35">
      <c r="A216" s="1">
        <v>45928</v>
      </c>
      <c r="B216">
        <v>185.72</v>
      </c>
      <c r="C216" s="12">
        <v>7.2038790000000005E-2</v>
      </c>
      <c r="D216" s="12">
        <v>1.5529309E-2</v>
      </c>
    </row>
    <row r="217" spans="1:4" x14ac:dyDescent="0.35">
      <c r="A217" s="1">
        <v>45868</v>
      </c>
      <c r="B217">
        <v>173.24</v>
      </c>
      <c r="C217" s="12">
        <v>8.3427141999999996E-2</v>
      </c>
      <c r="D217" s="12">
        <v>1.6010791E-2</v>
      </c>
    </row>
    <row r="218" spans="1:4" x14ac:dyDescent="0.35">
      <c r="A218" s="1">
        <v>45802</v>
      </c>
      <c r="B218">
        <v>159.9</v>
      </c>
      <c r="C218" s="12">
        <v>-7.0456924000000004E-2</v>
      </c>
      <c r="D218" s="12">
        <v>1.6335091999999999E-2</v>
      </c>
    </row>
    <row r="219" spans="1:4" x14ac:dyDescent="0.35">
      <c r="A219" s="1">
        <v>45846</v>
      </c>
      <c r="B219">
        <v>172.02</v>
      </c>
      <c r="C219" s="12">
        <v>0.19094433699999999</v>
      </c>
      <c r="D219" s="12">
        <v>1.6486438999999999E-2</v>
      </c>
    </row>
    <row r="220" spans="1:4" x14ac:dyDescent="0.35">
      <c r="A220" s="1">
        <v>45749</v>
      </c>
      <c r="B220">
        <v>144.44</v>
      </c>
      <c r="C220" s="12">
        <v>9.1926217000000005E-2</v>
      </c>
      <c r="D220" s="12">
        <v>1.6610360000000001E-2</v>
      </c>
    </row>
    <row r="221" spans="1:4" x14ac:dyDescent="0.35">
      <c r="A221" s="1">
        <v>45697</v>
      </c>
      <c r="B221">
        <v>132.28</v>
      </c>
      <c r="C221" s="12">
        <v>-4.1727036000000002E-2</v>
      </c>
      <c r="D221" s="12">
        <v>1.6678195E-2</v>
      </c>
    </row>
    <row r="222" spans="1:4" x14ac:dyDescent="0.35">
      <c r="A222" s="1">
        <v>45703</v>
      </c>
      <c r="B222">
        <v>138.04</v>
      </c>
      <c r="C222" s="12">
        <v>-0.14748023699999999</v>
      </c>
      <c r="D222" s="12">
        <v>1.6794343E-2</v>
      </c>
    </row>
    <row r="223" spans="1:4" x14ac:dyDescent="0.35">
      <c r="A223" s="1">
        <v>45826</v>
      </c>
      <c r="B223">
        <v>161.91999999999999</v>
      </c>
      <c r="C223" s="12">
        <v>2.5069638000000002E-2</v>
      </c>
      <c r="D223" s="12">
        <v>1.6893801E-2</v>
      </c>
    </row>
    <row r="224" spans="1:4" x14ac:dyDescent="0.35">
      <c r="A224" s="1">
        <v>45824</v>
      </c>
      <c r="B224">
        <v>157.96</v>
      </c>
      <c r="C224" s="12">
        <v>-2.2766642E-2</v>
      </c>
      <c r="D224" s="12">
        <v>1.7128139000000001E-2</v>
      </c>
    </row>
    <row r="225" spans="1:4" x14ac:dyDescent="0.35">
      <c r="A225" s="1">
        <v>45760</v>
      </c>
      <c r="B225">
        <v>161.63999999999999</v>
      </c>
      <c r="C225" s="12">
        <v>-0.127166694</v>
      </c>
      <c r="D225" s="12">
        <v>1.8589702999999999E-2</v>
      </c>
    </row>
    <row r="226" spans="1:4" x14ac:dyDescent="0.35">
      <c r="A226" s="1">
        <v>45880</v>
      </c>
      <c r="B226">
        <v>185.19</v>
      </c>
      <c r="C226" s="12">
        <v>0.19740075000000001</v>
      </c>
      <c r="D226" s="12">
        <v>1.8590836999999999E-2</v>
      </c>
    </row>
    <row r="227" spans="1:4" x14ac:dyDescent="0.35">
      <c r="A227" s="1">
        <v>45719</v>
      </c>
      <c r="B227">
        <v>154.66</v>
      </c>
      <c r="C227" s="12">
        <v>-0.102379571</v>
      </c>
      <c r="D227" s="12">
        <v>1.8773466999999999E-2</v>
      </c>
    </row>
    <row r="228" spans="1:4" x14ac:dyDescent="0.35">
      <c r="A228" s="1">
        <v>45923</v>
      </c>
      <c r="B228">
        <v>172.3</v>
      </c>
      <c r="C228" s="12">
        <v>0.22406933800000001</v>
      </c>
      <c r="D228" s="12">
        <v>1.8803217000000001E-2</v>
      </c>
    </row>
    <row r="229" spans="1:4" x14ac:dyDescent="0.35">
      <c r="A229" s="1">
        <v>45704</v>
      </c>
      <c r="B229">
        <v>140.76</v>
      </c>
      <c r="C229" s="12">
        <v>-0.17038958000000001</v>
      </c>
      <c r="D229" s="12">
        <v>1.9704433E-2</v>
      </c>
    </row>
    <row r="230" spans="1:4" x14ac:dyDescent="0.35">
      <c r="A230" s="1">
        <v>45900</v>
      </c>
      <c r="B230">
        <v>169.67</v>
      </c>
      <c r="C230" s="12">
        <v>-3.4869169999999998E-2</v>
      </c>
      <c r="D230" s="12">
        <v>2.0080562999999999E-2</v>
      </c>
    </row>
    <row r="231" spans="1:4" x14ac:dyDescent="0.35">
      <c r="A231" s="1">
        <v>45924</v>
      </c>
      <c r="B231">
        <v>175.8</v>
      </c>
      <c r="C231" s="12">
        <v>0.24539529600000001</v>
      </c>
      <c r="D231" s="12">
        <v>2.0313406999999999E-2</v>
      </c>
    </row>
    <row r="232" spans="1:4" x14ac:dyDescent="0.35">
      <c r="A232" s="1">
        <v>45741</v>
      </c>
      <c r="B232">
        <v>141.16</v>
      </c>
      <c r="C232" s="12">
        <v>3.4821494000000001E-2</v>
      </c>
      <c r="D232" s="12">
        <v>2.1713955E-2</v>
      </c>
    </row>
    <row r="233" spans="1:4" x14ac:dyDescent="0.35">
      <c r="A233" s="1">
        <v>45736</v>
      </c>
      <c r="B233">
        <v>136.41</v>
      </c>
      <c r="C233" s="12">
        <v>-0.247891051</v>
      </c>
      <c r="D233" s="12">
        <v>2.2410433E-2</v>
      </c>
    </row>
    <row r="234" spans="1:4" x14ac:dyDescent="0.35">
      <c r="A234" s="1">
        <v>45887</v>
      </c>
      <c r="B234">
        <v>181.37</v>
      </c>
      <c r="C234" s="12">
        <v>0.27662419900000002</v>
      </c>
      <c r="D234" s="12">
        <v>2.3128560999999999E-2</v>
      </c>
    </row>
    <row r="235" spans="1:4" x14ac:dyDescent="0.35">
      <c r="A235" s="1">
        <v>45744</v>
      </c>
      <c r="B235">
        <v>142.07</v>
      </c>
      <c r="C235" s="12">
        <v>-0.211072857</v>
      </c>
      <c r="D235" s="12">
        <v>2.3190493E-2</v>
      </c>
    </row>
    <row r="236" spans="1:4" x14ac:dyDescent="0.35">
      <c r="A236" s="1">
        <v>45925</v>
      </c>
      <c r="B236">
        <v>180.08</v>
      </c>
      <c r="C236" s="12">
        <v>-6.3449137000000003E-2</v>
      </c>
      <c r="D236" s="12">
        <v>2.4345848E-2</v>
      </c>
    </row>
    <row r="237" spans="1:4" x14ac:dyDescent="0.35">
      <c r="A237" s="1">
        <v>45942</v>
      </c>
      <c r="B237">
        <v>192.28</v>
      </c>
      <c r="C237" s="12">
        <v>1.6816498999999999E-2</v>
      </c>
      <c r="D237" s="12">
        <v>2.4892062999999999E-2</v>
      </c>
    </row>
    <row r="238" spans="1:4" x14ac:dyDescent="0.35">
      <c r="A238" s="1">
        <v>45940</v>
      </c>
      <c r="B238">
        <v>189.1</v>
      </c>
      <c r="C238" s="12">
        <v>0.192307692</v>
      </c>
      <c r="D238" s="12">
        <v>2.543246E-2</v>
      </c>
    </row>
    <row r="239" spans="1:4" x14ac:dyDescent="0.35">
      <c r="A239" s="1">
        <v>45720</v>
      </c>
      <c r="B239">
        <v>158.6</v>
      </c>
      <c r="C239" s="12">
        <v>-4.6760428E-2</v>
      </c>
      <c r="D239" s="12">
        <v>2.5475235999999998E-2</v>
      </c>
    </row>
    <row r="240" spans="1:4" x14ac:dyDescent="0.35">
      <c r="A240" s="1">
        <v>45911</v>
      </c>
      <c r="B240">
        <v>166.38</v>
      </c>
      <c r="C240" s="12">
        <v>-5.6909647000000001E-2</v>
      </c>
      <c r="D240" s="12">
        <v>2.5580965000000001E-2</v>
      </c>
    </row>
    <row r="241" spans="1:4" x14ac:dyDescent="0.35">
      <c r="A241" s="1">
        <v>45864</v>
      </c>
      <c r="B241">
        <v>176.42</v>
      </c>
      <c r="C241" s="12">
        <v>9.8916158000000004E-2</v>
      </c>
      <c r="D241" s="12">
        <v>2.6055601000000001E-2</v>
      </c>
    </row>
    <row r="242" spans="1:4" x14ac:dyDescent="0.35">
      <c r="A242" s="1">
        <v>45786</v>
      </c>
      <c r="B242">
        <v>160.54</v>
      </c>
      <c r="C242" s="12">
        <v>-0.123881249</v>
      </c>
      <c r="D242" s="12">
        <v>2.6536224000000001E-2</v>
      </c>
    </row>
    <row r="243" spans="1:4" x14ac:dyDescent="0.35">
      <c r="A243" s="1">
        <v>45933</v>
      </c>
      <c r="B243">
        <v>183.24</v>
      </c>
      <c r="C243" s="12">
        <v>7.8653539999999997E-3</v>
      </c>
      <c r="D243" s="12">
        <v>2.7130044999999998E-2</v>
      </c>
    </row>
    <row r="244" spans="1:4" x14ac:dyDescent="0.35">
      <c r="A244" s="1">
        <v>45879</v>
      </c>
      <c r="B244">
        <v>181.81</v>
      </c>
      <c r="C244" s="12">
        <v>0.20852166999999999</v>
      </c>
      <c r="D244" s="12">
        <v>2.9152042999999999E-2</v>
      </c>
    </row>
    <row r="245" spans="1:4" x14ac:dyDescent="0.35">
      <c r="A245" s="1">
        <v>45712</v>
      </c>
      <c r="B245">
        <v>150.44</v>
      </c>
      <c r="C245" s="12">
        <v>0.104146789</v>
      </c>
      <c r="D245" s="12">
        <v>2.9705681000000001E-2</v>
      </c>
    </row>
    <row r="246" spans="1:4" x14ac:dyDescent="0.35">
      <c r="A246" s="1">
        <v>45698</v>
      </c>
      <c r="B246">
        <v>136.25</v>
      </c>
      <c r="C246" s="12">
        <v>-0.20734190499999999</v>
      </c>
      <c r="D246" s="12">
        <v>3.0012095999999999E-2</v>
      </c>
    </row>
    <row r="247" spans="1:4" x14ac:dyDescent="0.35">
      <c r="A247" s="1">
        <v>45912</v>
      </c>
      <c r="B247">
        <v>171.89</v>
      </c>
      <c r="C247" s="12">
        <v>-7.6208070000000003E-3</v>
      </c>
      <c r="D247" s="12">
        <v>3.3116961E-2</v>
      </c>
    </row>
    <row r="248" spans="1:4" x14ac:dyDescent="0.35">
      <c r="A248" s="1">
        <v>45859</v>
      </c>
      <c r="B248">
        <v>173.21</v>
      </c>
      <c r="C248" s="12">
        <v>4.4188570000000003E-2</v>
      </c>
      <c r="D248" s="12">
        <v>3.4027819000000001E-2</v>
      </c>
    </row>
    <row r="249" spans="1:4" x14ac:dyDescent="0.35">
      <c r="A249" s="1">
        <v>45790</v>
      </c>
      <c r="B249">
        <v>165.88</v>
      </c>
      <c r="C249" s="12">
        <v>-0.12348745</v>
      </c>
      <c r="D249" s="12">
        <v>3.6361364E-2</v>
      </c>
    </row>
    <row r="250" spans="1:4" x14ac:dyDescent="0.35">
      <c r="A250" s="1">
        <v>45935</v>
      </c>
      <c r="B250">
        <v>189.25</v>
      </c>
      <c r="C250" s="12">
        <v>0.218530681</v>
      </c>
      <c r="D250" s="12">
        <v>3.6588705999999999E-2</v>
      </c>
    </row>
    <row r="251" spans="1:4" x14ac:dyDescent="0.35">
      <c r="A251" s="1">
        <v>45755</v>
      </c>
      <c r="B251">
        <v>155.31</v>
      </c>
      <c r="C251" s="12">
        <v>-2.6635748000000001E-2</v>
      </c>
      <c r="D251" s="12">
        <v>3.9349528000000002E-2</v>
      </c>
    </row>
    <row r="252" spans="1:4" x14ac:dyDescent="0.35">
      <c r="A252" s="1">
        <v>45815</v>
      </c>
      <c r="B252">
        <v>159.56</v>
      </c>
      <c r="C252" s="12">
        <v>0.153640373</v>
      </c>
      <c r="D252" s="12">
        <v>4.2807659999999997E-2</v>
      </c>
    </row>
    <row r="253" spans="1:4" x14ac:dyDescent="0.35">
      <c r="A253" s="1">
        <v>45694</v>
      </c>
      <c r="B253">
        <v>138.31</v>
      </c>
      <c r="C253" s="12">
        <v>-0.316379992</v>
      </c>
      <c r="D253" s="12">
        <v>4.3534027000000003E-2</v>
      </c>
    </row>
    <row r="254" spans="1:4" x14ac:dyDescent="0.35">
      <c r="A254" s="1">
        <v>45944</v>
      </c>
      <c r="B254">
        <v>202.32</v>
      </c>
      <c r="C254" s="12">
        <v>0.38480492799999999</v>
      </c>
      <c r="D254" s="12">
        <v>4.3693577999999997E-2</v>
      </c>
    </row>
    <row r="255" spans="1:4" x14ac:dyDescent="0.35">
      <c r="A255" s="1">
        <v>45711</v>
      </c>
      <c r="B255">
        <v>146.1</v>
      </c>
      <c r="C255" s="12">
        <v>9.5038225000000004E-2</v>
      </c>
      <c r="D255" s="12">
        <v>4.8514425E-2</v>
      </c>
    </row>
    <row r="256" spans="1:4" x14ac:dyDescent="0.35">
      <c r="A256" s="1">
        <v>45735</v>
      </c>
      <c r="B256">
        <v>133.41999999999999</v>
      </c>
      <c r="C256" s="12">
        <v>-0.20512362200000001</v>
      </c>
      <c r="D256" s="12">
        <v>4.9064318000000003E-2</v>
      </c>
    </row>
    <row r="257" spans="1:4" x14ac:dyDescent="0.35">
      <c r="A257" s="1">
        <v>45836</v>
      </c>
      <c r="B257">
        <v>167.85</v>
      </c>
      <c r="C257" s="12">
        <v>0.106970916</v>
      </c>
      <c r="D257" s="12">
        <v>5.9725992999999998E-2</v>
      </c>
    </row>
    <row r="258" spans="1:4" x14ac:dyDescent="0.35">
      <c r="A258" s="1">
        <v>45753</v>
      </c>
      <c r="B258">
        <v>151.63</v>
      </c>
      <c r="C258" s="12">
        <v>0.126355668</v>
      </c>
      <c r="D258" s="12">
        <v>6.1983470999999998E-2</v>
      </c>
    </row>
    <row r="259" spans="1:4" x14ac:dyDescent="0.35">
      <c r="A259" s="1">
        <v>45688</v>
      </c>
      <c r="B259">
        <v>134.62</v>
      </c>
      <c r="C259" s="12" t="e">
        <v>#DIV/0!</v>
      </c>
      <c r="D259" s="12" t="e">
        <v>#DIV/0!</v>
      </c>
    </row>
  </sheetData>
  <mergeCells count="4">
    <mergeCell ref="E8:G8"/>
    <mergeCell ref="E1:G1"/>
    <mergeCell ref="E7:G7"/>
    <mergeCell ref="E9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C10F-9A73-41E6-9D92-9C17FA8D3FD1}">
  <dimension ref="A1:S1001"/>
  <sheetViews>
    <sheetView zoomScale="75" workbookViewId="0">
      <selection activeCell="L6" sqref="L6"/>
    </sheetView>
  </sheetViews>
  <sheetFormatPr defaultRowHeight="14.5" x14ac:dyDescent="0.35"/>
  <cols>
    <col min="1" max="1" width="17.6328125" customWidth="1"/>
    <col min="2" max="2" width="10.1796875" customWidth="1"/>
    <col min="3" max="3" width="10.26953125" customWidth="1"/>
    <col min="4" max="4" width="14.453125" customWidth="1"/>
    <col min="5" max="5" width="12.26953125" customWidth="1"/>
    <col min="6" max="6" width="20.6328125" customWidth="1"/>
    <col min="7" max="7" width="12.26953125" customWidth="1"/>
    <col min="8" max="8" width="30" customWidth="1"/>
    <col min="9" max="9" width="17.54296875" customWidth="1"/>
    <col min="10" max="10" width="14.36328125" customWidth="1"/>
    <col min="14" max="14" width="10.6328125" customWidth="1"/>
  </cols>
  <sheetData>
    <row r="1" spans="1:19" ht="15" thickBot="1" x14ac:dyDescent="0.4">
      <c r="A1" s="14" t="s">
        <v>0</v>
      </c>
      <c r="B1" s="14" t="s">
        <v>1</v>
      </c>
      <c r="C1" s="14" t="s">
        <v>23</v>
      </c>
      <c r="D1" s="14" t="s">
        <v>22</v>
      </c>
      <c r="E1" s="14" t="s">
        <v>12</v>
      </c>
      <c r="F1" s="14" t="s">
        <v>13</v>
      </c>
      <c r="G1" s="14"/>
      <c r="H1" s="24" t="s">
        <v>24</v>
      </c>
      <c r="I1" s="26"/>
    </row>
    <row r="2" spans="1:19" ht="15" thickBot="1" x14ac:dyDescent="0.4">
      <c r="A2" s="1">
        <v>45731</v>
      </c>
      <c r="B2">
        <v>140.38999999999999</v>
      </c>
      <c r="C2" s="12">
        <v>8.4260116999999995E-2</v>
      </c>
      <c r="D2" s="12">
        <v>-8.6121598999999993E-2</v>
      </c>
      <c r="E2" s="13">
        <v>1</v>
      </c>
      <c r="F2" s="12">
        <f ca="1">_xlfn.NORM.INV(RAND(),$I$3,$I$4)</f>
        <v>-1.2804903856266618E-2</v>
      </c>
      <c r="G2" s="13"/>
      <c r="H2" s="34" t="s">
        <v>14</v>
      </c>
      <c r="I2" s="35"/>
    </row>
    <row r="3" spans="1:19" ht="15" thickBot="1" x14ac:dyDescent="0.4">
      <c r="A3" s="1">
        <v>45732</v>
      </c>
      <c r="B3">
        <v>129.47999999999999</v>
      </c>
      <c r="C3" s="12">
        <v>-0.32957075499999999</v>
      </c>
      <c r="D3" s="12">
        <v>-7.7712087999999999E-2</v>
      </c>
      <c r="E3" s="13">
        <v>2</v>
      </c>
      <c r="F3" s="12">
        <f t="shared" ref="F3:F66" ca="1" si="0">_xlfn.NORM.INV(RAND(),$I$3,$I$4)</f>
        <v>-2.6746278814948763E-2</v>
      </c>
      <c r="G3" s="13"/>
      <c r="H3" s="6" t="s">
        <v>2</v>
      </c>
      <c r="I3" s="11">
        <v>1.5558460000000001E-3</v>
      </c>
    </row>
    <row r="4" spans="1:19" ht="15" thickBot="1" x14ac:dyDescent="0.4">
      <c r="A4" s="1">
        <v>45945</v>
      </c>
      <c r="B4">
        <v>193.13</v>
      </c>
      <c r="C4" s="12">
        <v>0.262205085</v>
      </c>
      <c r="D4" s="12">
        <v>-4.5423091999999998E-2</v>
      </c>
      <c r="E4" s="13">
        <v>3</v>
      </c>
      <c r="F4" s="12">
        <f t="shared" ca="1" si="0"/>
        <v>9.5865333170943919E-3</v>
      </c>
      <c r="G4" s="13"/>
      <c r="H4" s="6" t="s">
        <v>3</v>
      </c>
      <c r="I4" s="11">
        <v>1.7362542000000002E-2</v>
      </c>
      <c r="P4" s="4"/>
    </row>
    <row r="5" spans="1:19" ht="15" thickBot="1" x14ac:dyDescent="0.4">
      <c r="A5" s="1">
        <v>45814</v>
      </c>
      <c r="B5">
        <v>153.01</v>
      </c>
      <c r="C5" s="12">
        <v>0.141524918</v>
      </c>
      <c r="D5" s="12">
        <v>-3.1214385000000001E-2</v>
      </c>
      <c r="E5" s="13">
        <v>4</v>
      </c>
      <c r="F5" s="12">
        <f t="shared" ca="1" si="0"/>
        <v>-5.6666187949121906E-2</v>
      </c>
      <c r="G5" s="13"/>
      <c r="H5" s="6" t="s">
        <v>4</v>
      </c>
      <c r="I5" s="7">
        <v>-8.6121598999999993E-2</v>
      </c>
      <c r="N5" s="4"/>
    </row>
    <row r="6" spans="1:19" ht="15" thickBot="1" x14ac:dyDescent="0.4">
      <c r="A6" s="1">
        <v>45695</v>
      </c>
      <c r="B6">
        <v>134.04</v>
      </c>
      <c r="C6" s="12">
        <v>-0.13689633000000001</v>
      </c>
      <c r="D6" s="12">
        <v>-3.0872677000000001E-2</v>
      </c>
      <c r="E6" s="13">
        <v>5</v>
      </c>
      <c r="F6" s="12">
        <f t="shared" ca="1" si="0"/>
        <v>-5.1497330043278923E-3</v>
      </c>
      <c r="G6" s="13"/>
      <c r="H6" s="6" t="s">
        <v>5</v>
      </c>
      <c r="I6" s="7">
        <v>6.1983470999999998E-2</v>
      </c>
      <c r="J6" s="2"/>
    </row>
    <row r="7" spans="1:19" ht="15" thickBot="1" x14ac:dyDescent="0.4">
      <c r="A7" s="1">
        <v>45823</v>
      </c>
      <c r="B7">
        <v>155.30000000000001</v>
      </c>
      <c r="C7" s="12">
        <v>0.19360541100000001</v>
      </c>
      <c r="D7" s="12">
        <v>-3.0465725999999999E-2</v>
      </c>
      <c r="E7" s="13">
        <v>6</v>
      </c>
      <c r="F7" s="12">
        <f t="shared" ca="1" si="0"/>
        <v>-7.7045626146264555E-3</v>
      </c>
      <c r="G7" s="13"/>
      <c r="H7" s="6" t="s">
        <v>6</v>
      </c>
      <c r="I7" s="16">
        <v>192.58</v>
      </c>
      <c r="J7" s="20">
        <v>192580</v>
      </c>
    </row>
    <row r="8" spans="1:19" x14ac:dyDescent="0.35">
      <c r="A8" s="1">
        <v>45696</v>
      </c>
      <c r="B8">
        <v>130.11000000000001</v>
      </c>
      <c r="C8" s="12">
        <v>-0.22275985700000001</v>
      </c>
      <c r="D8" s="12">
        <v>-2.9319606000000002E-2</v>
      </c>
      <c r="E8" s="13">
        <v>7</v>
      </c>
      <c r="F8" s="12">
        <f t="shared" ca="1" si="0"/>
        <v>-3.5136864091337157E-2</v>
      </c>
      <c r="G8" s="13"/>
      <c r="H8" s="30" t="s">
        <v>7</v>
      </c>
      <c r="I8" s="31"/>
      <c r="J8" s="15"/>
      <c r="P8" s="4"/>
    </row>
    <row r="9" spans="1:19" ht="15" thickBot="1" x14ac:dyDescent="0.4">
      <c r="A9" s="1">
        <v>45854</v>
      </c>
      <c r="B9">
        <v>167.4</v>
      </c>
      <c r="C9" s="12">
        <v>7.9791007999999997E-2</v>
      </c>
      <c r="D9" s="12">
        <v>-2.8889662E-2</v>
      </c>
      <c r="E9" s="13">
        <v>8</v>
      </c>
      <c r="F9" s="12">
        <f t="shared" ca="1" si="0"/>
        <v>9.4456212876030607E-3</v>
      </c>
      <c r="G9" s="13"/>
      <c r="H9" s="32"/>
      <c r="I9" s="33"/>
      <c r="J9" s="15"/>
      <c r="Q9" s="10"/>
    </row>
    <row r="10" spans="1:19" ht="15" thickBot="1" x14ac:dyDescent="0.4">
      <c r="A10" s="1">
        <v>45831</v>
      </c>
      <c r="B10">
        <v>155.03</v>
      </c>
      <c r="C10" s="12">
        <v>-7.7202381E-2</v>
      </c>
      <c r="D10" s="12">
        <v>-2.8816637999999999E-2</v>
      </c>
      <c r="E10" s="13">
        <v>9</v>
      </c>
      <c r="F10" s="12">
        <f t="shared" ca="1" si="0"/>
        <v>-1.5653745371340556E-2</v>
      </c>
      <c r="G10" s="13"/>
      <c r="H10" s="15"/>
      <c r="I10" s="15"/>
      <c r="J10" s="10"/>
      <c r="K10" s="13"/>
      <c r="L10" s="13"/>
      <c r="M10" s="13"/>
      <c r="N10" s="13"/>
      <c r="R10" s="2"/>
      <c r="S10" s="2"/>
    </row>
    <row r="11" spans="1:19" ht="15" thickBot="1" x14ac:dyDescent="0.4">
      <c r="A11" s="1">
        <v>45897</v>
      </c>
      <c r="B11">
        <v>168</v>
      </c>
      <c r="C11" s="12">
        <v>-8.4767922999999995E-2</v>
      </c>
      <c r="D11" s="12">
        <v>-2.5861069E-2</v>
      </c>
      <c r="E11" s="13">
        <v>10</v>
      </c>
      <c r="F11" s="12">
        <f t="shared" ca="1" si="0"/>
        <v>1.9540232283151986E-2</v>
      </c>
      <c r="G11" s="13"/>
      <c r="H11" s="18" t="s">
        <v>15</v>
      </c>
      <c r="I11" s="19"/>
      <c r="J11" s="10"/>
      <c r="K11" s="13"/>
      <c r="L11" s="13"/>
    </row>
    <row r="12" spans="1:19" ht="15" thickBot="1" x14ac:dyDescent="0.4">
      <c r="A12" s="1">
        <v>45938</v>
      </c>
      <c r="B12">
        <v>183.56</v>
      </c>
      <c r="C12" s="12">
        <v>0.443308696</v>
      </c>
      <c r="D12" s="12">
        <v>-2.5017261999999998E-2</v>
      </c>
      <c r="E12" s="13">
        <v>11</v>
      </c>
      <c r="F12" s="12">
        <f t="shared" ca="1" si="0"/>
        <v>2.4433724296904082E-2</v>
      </c>
      <c r="G12" s="13"/>
      <c r="H12" s="6" t="s">
        <v>2</v>
      </c>
      <c r="I12" s="11">
        <f ca="1">AVERAGE(F2:F1001,)</f>
        <v>8.9958784327592194E-4</v>
      </c>
      <c r="J12" s="10"/>
    </row>
    <row r="13" spans="1:19" ht="15" thickBot="1" x14ac:dyDescent="0.4">
      <c r="A13" s="1">
        <v>45734</v>
      </c>
      <c r="B13">
        <v>127.18</v>
      </c>
      <c r="C13" s="12">
        <v>-0.168160115</v>
      </c>
      <c r="D13" s="12">
        <v>-2.3794902999999999E-2</v>
      </c>
      <c r="E13" s="13">
        <v>12</v>
      </c>
      <c r="F13" s="12">
        <f t="shared" ca="1" si="0"/>
        <v>1.0798428627325234E-2</v>
      </c>
      <c r="G13" s="13"/>
      <c r="H13" s="6" t="s">
        <v>3</v>
      </c>
      <c r="I13" s="11">
        <f ca="1">_xlfn.STDEV.S(F2:F1001)</f>
        <v>1.7648642879602685E-2</v>
      </c>
      <c r="J13" s="2"/>
    </row>
    <row r="14" spans="1:19" ht="15" thickBot="1" x14ac:dyDescent="0.4">
      <c r="A14" s="1">
        <v>45776</v>
      </c>
      <c r="B14">
        <v>152.88999999999999</v>
      </c>
      <c r="C14" s="12">
        <v>0.11071558300000001</v>
      </c>
      <c r="D14" s="12">
        <v>-2.2504955E-2</v>
      </c>
      <c r="E14" s="13">
        <v>13</v>
      </c>
      <c r="F14" s="12">
        <f t="shared" ca="1" si="0"/>
        <v>2.1361111754803777E-2</v>
      </c>
      <c r="G14" s="13"/>
      <c r="H14" s="6" t="s">
        <v>4</v>
      </c>
      <c r="I14" s="7">
        <f ca="1">MIN(F2:F1001)</f>
        <v>-6.9118274504270258E-2</v>
      </c>
      <c r="J14" s="2"/>
    </row>
    <row r="15" spans="1:19" ht="15" thickBot="1" x14ac:dyDescent="0.4">
      <c r="A15" s="1">
        <v>45705</v>
      </c>
      <c r="B15">
        <v>137.65</v>
      </c>
      <c r="C15" s="12">
        <v>-0.15794947100000001</v>
      </c>
      <c r="D15" s="12">
        <v>-2.2094345000000001E-2</v>
      </c>
      <c r="E15" s="13">
        <v>14</v>
      </c>
      <c r="F15" s="12">
        <f t="shared" ca="1" si="0"/>
        <v>1.5903531401152648E-2</v>
      </c>
      <c r="G15" s="13"/>
      <c r="H15" s="6" t="s">
        <v>5</v>
      </c>
      <c r="I15" s="7">
        <f ca="1">MAX(F2:F1001)</f>
        <v>5.734263274023374E-2</v>
      </c>
      <c r="J15" s="2"/>
    </row>
    <row r="16" spans="1:19" ht="15" thickBot="1" x14ac:dyDescent="0.4">
      <c r="A16" s="1">
        <v>45908</v>
      </c>
      <c r="B16">
        <v>163.47</v>
      </c>
      <c r="C16" s="12">
        <v>3.5013295999999999E-2</v>
      </c>
      <c r="D16" s="12">
        <v>-2.1782059999999999E-2</v>
      </c>
      <c r="E16" s="13">
        <v>15</v>
      </c>
      <c r="F16" s="12">
        <f t="shared" ca="1" si="0"/>
        <v>5.4358412125590332E-3</v>
      </c>
      <c r="G16" s="13"/>
      <c r="H16" s="6" t="s">
        <v>6</v>
      </c>
      <c r="I16" s="7">
        <v>192.58</v>
      </c>
      <c r="J16" s="2"/>
    </row>
    <row r="17" spans="1:11" ht="15" thickBot="1" x14ac:dyDescent="0.4">
      <c r="A17" s="1">
        <v>45813</v>
      </c>
      <c r="B17">
        <v>157.94</v>
      </c>
      <c r="C17" s="12">
        <v>-0.123140129</v>
      </c>
      <c r="D17" s="12">
        <v>-2.1194844000000001E-2</v>
      </c>
      <c r="E17" s="13">
        <v>16</v>
      </c>
      <c r="F17" s="12">
        <f t="shared" ca="1" si="0"/>
        <v>9.4410974142012626E-3</v>
      </c>
      <c r="G17" s="13"/>
      <c r="H17" s="10"/>
      <c r="I17" s="10"/>
      <c r="J17" s="10"/>
    </row>
    <row r="18" spans="1:11" ht="15" thickBot="1" x14ac:dyDescent="0.4">
      <c r="A18" s="1">
        <v>45931</v>
      </c>
      <c r="B18">
        <v>180.12</v>
      </c>
      <c r="C18" s="12">
        <v>0.29722722400000001</v>
      </c>
      <c r="D18" s="12">
        <v>-2.0021763000000001E-2</v>
      </c>
      <c r="E18" s="13">
        <v>17</v>
      </c>
      <c r="F18" s="12">
        <f t="shared" ca="1" si="0"/>
        <v>2.8641180035472592E-2</v>
      </c>
      <c r="G18" s="13"/>
      <c r="H18" s="22" t="s">
        <v>16</v>
      </c>
      <c r="I18" s="22" t="s">
        <v>17</v>
      </c>
      <c r="J18" s="22" t="s">
        <v>18</v>
      </c>
      <c r="K18" s="22" t="s">
        <v>19</v>
      </c>
    </row>
    <row r="19" spans="1:11" ht="15" thickBot="1" x14ac:dyDescent="0.4">
      <c r="A19" s="1">
        <v>45743</v>
      </c>
      <c r="B19">
        <v>138.85</v>
      </c>
      <c r="C19" s="12">
        <v>-0.22555636100000001</v>
      </c>
      <c r="D19" s="12">
        <v>-1.8866590999999999E-2</v>
      </c>
      <c r="E19" s="13">
        <v>18</v>
      </c>
      <c r="F19" s="12">
        <f t="shared" ca="1" si="0"/>
        <v>-1.1471965791639251E-2</v>
      </c>
      <c r="G19" s="13"/>
      <c r="H19" s="8">
        <v>0.05</v>
      </c>
      <c r="I19" s="8">
        <v>0.95</v>
      </c>
      <c r="J19" s="6">
        <f ca="1">_xlfn.PERCENTILE.INC($F$2:$F$1001,H19)</f>
        <v>-2.727703705693444E-2</v>
      </c>
      <c r="K19" s="21">
        <f ca="1">J19*$J$7</f>
        <v>-5253.0117964244346</v>
      </c>
    </row>
    <row r="20" spans="1:11" ht="15" thickBot="1" x14ac:dyDescent="0.4">
      <c r="A20" s="1">
        <v>45885</v>
      </c>
      <c r="B20">
        <v>179.29</v>
      </c>
      <c r="C20" s="12">
        <v>0.127610063</v>
      </c>
      <c r="D20" s="12">
        <v>-1.8503312000000001E-2</v>
      </c>
      <c r="E20" s="13">
        <v>19</v>
      </c>
      <c r="F20" s="12">
        <f t="shared" ca="1" si="0"/>
        <v>3.6315046291593892E-2</v>
      </c>
      <c r="G20" s="13"/>
      <c r="H20" s="8">
        <v>0.01</v>
      </c>
      <c r="I20" s="8">
        <v>0.99</v>
      </c>
      <c r="J20" s="6">
        <f t="shared" ref="J20:J21" ca="1" si="1">_xlfn.PERCENTILE.INC($F$2:$F$1001,H20)</f>
        <v>-4.3510145803787446E-2</v>
      </c>
      <c r="K20" s="21">
        <f t="shared" ref="K20:K21" ca="1" si="2">J20*$J$7</f>
        <v>-8379.1838788933856</v>
      </c>
    </row>
    <row r="21" spans="1:11" ht="15" thickBot="1" x14ac:dyDescent="0.4">
      <c r="A21" s="1">
        <v>45795</v>
      </c>
      <c r="B21">
        <v>159</v>
      </c>
      <c r="C21" s="12">
        <v>2.8382210000000001E-3</v>
      </c>
      <c r="D21" s="12">
        <v>-1.8336729E-2</v>
      </c>
      <c r="E21" s="13">
        <v>20</v>
      </c>
      <c r="F21" s="12">
        <f t="shared" ca="1" si="0"/>
        <v>-1.8218961677304545E-2</v>
      </c>
      <c r="G21" s="13"/>
      <c r="H21" s="8">
        <v>0.1</v>
      </c>
      <c r="I21" s="8">
        <v>0.9</v>
      </c>
      <c r="J21" s="6">
        <f t="shared" ca="1" si="1"/>
        <v>-2.1128806954980615E-2</v>
      </c>
      <c r="K21" s="21">
        <f t="shared" ca="1" si="2"/>
        <v>-4068.9856433901668</v>
      </c>
    </row>
    <row r="22" spans="1:11" x14ac:dyDescent="0.35">
      <c r="A22" s="1">
        <v>45828</v>
      </c>
      <c r="B22">
        <v>158.55000000000001</v>
      </c>
      <c r="C22" s="12">
        <v>-6.7681994999999995E-2</v>
      </c>
      <c r="D22" s="12">
        <v>-1.8327039E-2</v>
      </c>
      <c r="E22" s="13">
        <v>21</v>
      </c>
      <c r="F22" s="12">
        <f t="shared" ca="1" si="0"/>
        <v>-9.1049982379708596E-3</v>
      </c>
      <c r="G22" s="13"/>
      <c r="H22" s="15"/>
      <c r="I22" s="15"/>
      <c r="J22" s="15"/>
    </row>
    <row r="23" spans="1:11" x14ac:dyDescent="0.35">
      <c r="A23" s="1">
        <v>45860</v>
      </c>
      <c r="B23">
        <v>170.06</v>
      </c>
      <c r="C23" s="12">
        <v>1.3542949999999999E-3</v>
      </c>
      <c r="D23" s="12">
        <v>-1.8186016999999999E-2</v>
      </c>
      <c r="E23" s="13">
        <v>22</v>
      </c>
      <c r="F23" s="12">
        <f t="shared" ca="1" si="0"/>
        <v>-3.0287611655986375E-2</v>
      </c>
      <c r="G23" s="13"/>
      <c r="H23" s="15"/>
      <c r="I23" s="15"/>
      <c r="J23" s="15"/>
    </row>
    <row r="24" spans="1:11" x14ac:dyDescent="0.35">
      <c r="A24" s="1">
        <v>45914</v>
      </c>
      <c r="B24">
        <v>169.83</v>
      </c>
      <c r="C24" s="12">
        <v>4.1837923999999999E-2</v>
      </c>
      <c r="D24" s="12">
        <v>-1.7585468999999999E-2</v>
      </c>
      <c r="E24" s="13">
        <v>23</v>
      </c>
      <c r="F24" s="12">
        <f t="shared" ca="1" si="0"/>
        <v>2.4232785191346418E-2</v>
      </c>
      <c r="G24" s="13"/>
      <c r="H24" s="15"/>
      <c r="I24" s="15"/>
      <c r="J24" s="15"/>
    </row>
    <row r="25" spans="1:11" x14ac:dyDescent="0.35">
      <c r="A25" s="1">
        <v>45792</v>
      </c>
      <c r="B25">
        <v>163.01</v>
      </c>
      <c r="C25" s="12">
        <v>1.4564013000000001E-2</v>
      </c>
      <c r="D25" s="12">
        <v>-1.7479356000000001E-2</v>
      </c>
      <c r="E25" s="13">
        <v>24</v>
      </c>
      <c r="F25" s="12">
        <f t="shared" ca="1" si="0"/>
        <v>2.3335163505641878E-2</v>
      </c>
      <c r="G25" s="13"/>
      <c r="H25" s="15"/>
      <c r="I25" s="15"/>
      <c r="J25" s="15"/>
    </row>
    <row r="26" spans="1:11" x14ac:dyDescent="0.35">
      <c r="A26" s="1">
        <v>45909</v>
      </c>
      <c r="B26">
        <v>160.66999999999999</v>
      </c>
      <c r="C26" s="12">
        <v>0.118326721</v>
      </c>
      <c r="D26" s="12">
        <v>-1.7128524999999999E-2</v>
      </c>
      <c r="E26" s="13">
        <v>25</v>
      </c>
      <c r="F26" s="12">
        <f t="shared" ca="1" si="0"/>
        <v>-2.2551224556914263E-2</v>
      </c>
      <c r="G26" s="13"/>
      <c r="H26" s="15"/>
      <c r="I26" s="15"/>
      <c r="J26" s="15"/>
    </row>
    <row r="27" spans="1:11" x14ac:dyDescent="0.35">
      <c r="A27" s="1">
        <v>45751</v>
      </c>
      <c r="B27">
        <v>143.66999999999999</v>
      </c>
      <c r="C27" s="12">
        <v>-0.13116836000000001</v>
      </c>
      <c r="D27" s="12">
        <v>-1.5958903999999999E-2</v>
      </c>
      <c r="E27" s="13">
        <v>26</v>
      </c>
      <c r="F27" s="12">
        <f t="shared" ca="1" si="0"/>
        <v>3.2836222766678989E-2</v>
      </c>
      <c r="G27" s="13"/>
      <c r="H27" s="15"/>
      <c r="I27" s="15"/>
      <c r="J27" s="15"/>
    </row>
    <row r="28" spans="1:11" x14ac:dyDescent="0.35">
      <c r="A28" s="1">
        <v>45898</v>
      </c>
      <c r="B28">
        <v>165.36</v>
      </c>
      <c r="C28" s="12">
        <v>-3.0203507000000001E-2</v>
      </c>
      <c r="D28" s="12">
        <v>-1.5714286000000001E-2</v>
      </c>
      <c r="E28" s="13">
        <v>27</v>
      </c>
      <c r="F28" s="12">
        <f t="shared" ca="1" si="0"/>
        <v>1.9108047332522006E-2</v>
      </c>
      <c r="G28" s="13"/>
      <c r="H28" s="15"/>
      <c r="I28" s="15"/>
      <c r="J28" s="15"/>
    </row>
    <row r="29" spans="1:11" x14ac:dyDescent="0.35">
      <c r="A29" s="1">
        <v>45867</v>
      </c>
      <c r="B29">
        <v>170.51</v>
      </c>
      <c r="C29" s="12">
        <v>-1.9268377E-2</v>
      </c>
      <c r="D29" s="12">
        <v>-1.4563948E-2</v>
      </c>
      <c r="E29" s="13">
        <v>28</v>
      </c>
      <c r="F29" s="12">
        <f t="shared" ca="1" si="0"/>
        <v>8.2322409596792163E-3</v>
      </c>
      <c r="G29" s="13"/>
      <c r="H29" s="15"/>
      <c r="I29" s="15"/>
      <c r="J29" s="15"/>
    </row>
    <row r="30" spans="1:11" x14ac:dyDescent="0.35">
      <c r="A30" s="1">
        <v>45865</v>
      </c>
      <c r="B30">
        <v>173.86</v>
      </c>
      <c r="C30" s="12">
        <v>0.16348792100000001</v>
      </c>
      <c r="D30" s="12">
        <v>-1.4510825999999999E-2</v>
      </c>
      <c r="E30" s="13">
        <v>29</v>
      </c>
      <c r="F30" s="12">
        <f t="shared" ca="1" si="0"/>
        <v>-1.1614138619464565E-3</v>
      </c>
      <c r="G30" s="13"/>
      <c r="H30" s="15"/>
      <c r="I30" s="15"/>
      <c r="J30" s="15"/>
    </row>
    <row r="31" spans="1:11" x14ac:dyDescent="0.35">
      <c r="A31" s="1">
        <v>45754</v>
      </c>
      <c r="B31">
        <v>149.43</v>
      </c>
      <c r="C31" s="12">
        <v>0.12743322800000001</v>
      </c>
      <c r="D31" s="12">
        <v>-1.4509002E-2</v>
      </c>
      <c r="E31" s="13">
        <v>30</v>
      </c>
      <c r="F31" s="12">
        <f t="shared" ca="1" si="0"/>
        <v>1.6119396047260461E-2</v>
      </c>
      <c r="G31" s="13"/>
      <c r="H31" s="15"/>
      <c r="I31" s="13"/>
      <c r="J31" s="17"/>
    </row>
    <row r="32" spans="1:11" x14ac:dyDescent="0.35">
      <c r="A32" s="1">
        <v>45693</v>
      </c>
      <c r="B32">
        <v>132.54</v>
      </c>
      <c r="C32" s="12">
        <v>-0.23941237200000001</v>
      </c>
      <c r="D32" s="12">
        <v>-1.3839285999999999E-2</v>
      </c>
      <c r="E32" s="13">
        <v>31</v>
      </c>
      <c r="F32" s="12">
        <f t="shared" ca="1" si="0"/>
        <v>1.4891172333969364E-2</v>
      </c>
      <c r="G32" s="13"/>
      <c r="H32" s="15"/>
      <c r="I32" s="13"/>
      <c r="J32" s="17"/>
    </row>
    <row r="33" spans="1:10" x14ac:dyDescent="0.35">
      <c r="A33" s="1">
        <v>45892</v>
      </c>
      <c r="B33">
        <v>174.26</v>
      </c>
      <c r="C33" s="12">
        <v>-2.4354739E-2</v>
      </c>
      <c r="D33" s="12">
        <v>-1.3529578E-2</v>
      </c>
      <c r="E33" s="13">
        <v>32</v>
      </c>
      <c r="F33" s="12">
        <f t="shared" ca="1" si="0"/>
        <v>3.297309812199424E-2</v>
      </c>
      <c r="G33" s="13"/>
      <c r="H33" s="15"/>
      <c r="I33" s="13"/>
      <c r="J33" s="17"/>
    </row>
    <row r="34" spans="1:10" x14ac:dyDescent="0.35">
      <c r="A34" s="1">
        <v>45890</v>
      </c>
      <c r="B34">
        <v>178.61</v>
      </c>
      <c r="C34" s="12">
        <v>0.32825165499999998</v>
      </c>
      <c r="D34" s="12">
        <v>-1.3422448E-2</v>
      </c>
      <c r="E34" s="13">
        <v>33</v>
      </c>
      <c r="F34" s="12">
        <f t="shared" ca="1" si="0"/>
        <v>1.6038088806045223E-2</v>
      </c>
      <c r="G34" s="13"/>
      <c r="H34" s="13"/>
      <c r="I34" s="13"/>
      <c r="J34" s="17"/>
    </row>
    <row r="35" spans="1:10" x14ac:dyDescent="0.35">
      <c r="A35" s="1">
        <v>45699</v>
      </c>
      <c r="B35">
        <v>134.47</v>
      </c>
      <c r="C35" s="12">
        <v>-0.20015465099999999</v>
      </c>
      <c r="D35" s="12">
        <v>-1.306422E-2</v>
      </c>
      <c r="E35" s="13">
        <v>34</v>
      </c>
      <c r="F35" s="12">
        <f t="shared" ca="1" si="0"/>
        <v>-6.6238067579472322E-3</v>
      </c>
      <c r="G35" s="13"/>
      <c r="H35" s="13"/>
      <c r="I35" s="13"/>
      <c r="J35" s="17"/>
    </row>
    <row r="36" spans="1:10" x14ac:dyDescent="0.35">
      <c r="A36" s="1">
        <v>45916</v>
      </c>
      <c r="B36">
        <v>168.12</v>
      </c>
      <c r="C36" s="12">
        <v>-8.5310120000000003E-2</v>
      </c>
      <c r="D36" s="12">
        <v>-1.3032758E-2</v>
      </c>
      <c r="E36" s="13">
        <v>35</v>
      </c>
      <c r="F36" s="12">
        <f t="shared" ca="1" si="0"/>
        <v>5.7189467916461106E-3</v>
      </c>
      <c r="G36" s="13"/>
      <c r="H36" s="13"/>
      <c r="I36" s="13"/>
      <c r="J36" s="17"/>
    </row>
    <row r="37" spans="1:10" x14ac:dyDescent="0.35">
      <c r="A37" s="1">
        <v>45930</v>
      </c>
      <c r="B37">
        <v>183.8</v>
      </c>
      <c r="C37" s="12">
        <v>0.14147310900000001</v>
      </c>
      <c r="D37" s="12">
        <v>-1.2889365999999999E-2</v>
      </c>
      <c r="E37" s="13">
        <v>36</v>
      </c>
      <c r="F37" s="12">
        <f t="shared" ca="1" si="0"/>
        <v>-1.9425488092723365E-2</v>
      </c>
      <c r="G37" s="13"/>
      <c r="H37" s="13"/>
      <c r="I37" s="13"/>
      <c r="J37" s="17"/>
    </row>
    <row r="38" spans="1:10" x14ac:dyDescent="0.35">
      <c r="A38" s="1">
        <v>45767</v>
      </c>
      <c r="B38">
        <v>161.02000000000001</v>
      </c>
      <c r="C38" s="12">
        <v>-2.539801E-3</v>
      </c>
      <c r="D38" s="12">
        <v>-1.2873958E-2</v>
      </c>
      <c r="E38" s="13">
        <v>37</v>
      </c>
      <c r="F38" s="12">
        <f t="shared" ca="1" si="0"/>
        <v>-4.9253154948133746E-2</v>
      </c>
      <c r="G38" s="13"/>
      <c r="H38" s="13"/>
      <c r="I38" s="13"/>
      <c r="J38" s="17"/>
    </row>
    <row r="39" spans="1:10" x14ac:dyDescent="0.35">
      <c r="A39" s="1">
        <v>45808</v>
      </c>
      <c r="B39">
        <v>161.43</v>
      </c>
      <c r="C39" s="12">
        <v>1.5027666E-2</v>
      </c>
      <c r="D39" s="12">
        <v>-1.253976E-2</v>
      </c>
      <c r="E39" s="13">
        <v>38</v>
      </c>
      <c r="F39" s="12">
        <f t="shared" ca="1" si="0"/>
        <v>1.1674893710958829E-2</v>
      </c>
      <c r="G39" s="13"/>
      <c r="H39" s="13"/>
      <c r="I39" s="13"/>
      <c r="J39" s="17"/>
    </row>
    <row r="40" spans="1:10" x14ac:dyDescent="0.35">
      <c r="A40" s="1">
        <v>45768</v>
      </c>
      <c r="B40">
        <v>159.04</v>
      </c>
      <c r="C40" s="12">
        <v>0.19605926100000001</v>
      </c>
      <c r="D40" s="12">
        <v>-1.2296609E-2</v>
      </c>
      <c r="E40" s="13">
        <v>39</v>
      </c>
      <c r="F40" s="12">
        <f t="shared" ca="1" si="0"/>
        <v>1.5278678091578389E-2</v>
      </c>
      <c r="G40" s="13"/>
      <c r="H40" s="13"/>
      <c r="I40" s="13"/>
      <c r="J40" s="17"/>
    </row>
    <row r="41" spans="1:10" x14ac:dyDescent="0.35">
      <c r="A41" s="1">
        <v>45689</v>
      </c>
      <c r="B41">
        <v>132.97</v>
      </c>
      <c r="C41" s="12">
        <v>-0.249901281</v>
      </c>
      <c r="D41" s="12">
        <v>-1.2256723000000001E-2</v>
      </c>
      <c r="E41" s="13">
        <v>40</v>
      </c>
      <c r="F41" s="12">
        <f t="shared" ca="1" si="0"/>
        <v>1.7678037469809137E-2</v>
      </c>
      <c r="G41" s="13"/>
      <c r="H41" s="13"/>
      <c r="I41" s="13"/>
      <c r="J41" s="17"/>
    </row>
    <row r="42" spans="1:10" x14ac:dyDescent="0.35">
      <c r="A42" s="1">
        <v>45886</v>
      </c>
      <c r="B42">
        <v>177.27</v>
      </c>
      <c r="C42" s="12">
        <v>0.12709816900000001</v>
      </c>
      <c r="D42" s="12">
        <v>-1.1266663E-2</v>
      </c>
      <c r="E42" s="13">
        <v>41</v>
      </c>
      <c r="F42" s="12">
        <f t="shared" ca="1" si="0"/>
        <v>-7.7866832399479382E-4</v>
      </c>
      <c r="G42" s="13"/>
      <c r="H42" s="13"/>
      <c r="I42" s="13"/>
      <c r="J42" s="17"/>
    </row>
    <row r="43" spans="1:10" x14ac:dyDescent="0.35">
      <c r="A43" s="1">
        <v>45722</v>
      </c>
      <c r="B43">
        <v>157.28</v>
      </c>
      <c r="C43" s="12">
        <v>-0.10965185400000001</v>
      </c>
      <c r="D43" s="12">
        <v>-1.1066398E-2</v>
      </c>
      <c r="E43" s="13">
        <v>42</v>
      </c>
      <c r="F43" s="12">
        <f t="shared" ca="1" si="0"/>
        <v>-1.0923128146856842E-2</v>
      </c>
      <c r="G43" s="13"/>
      <c r="H43" s="13"/>
      <c r="I43" s="13"/>
      <c r="J43" s="17"/>
    </row>
    <row r="44" spans="1:10" x14ac:dyDescent="0.35">
      <c r="A44" s="1">
        <v>45891</v>
      </c>
      <c r="B44">
        <v>176.65</v>
      </c>
      <c r="C44" s="12">
        <v>0.10627505</v>
      </c>
      <c r="D44" s="12">
        <v>-1.097363E-2</v>
      </c>
      <c r="E44" s="13">
        <v>43</v>
      </c>
      <c r="F44" s="12">
        <f t="shared" ca="1" si="0"/>
        <v>1.0128862118610299E-2</v>
      </c>
      <c r="G44" s="13"/>
      <c r="H44" s="13"/>
      <c r="I44" s="13"/>
      <c r="J44" s="17"/>
    </row>
    <row r="45" spans="1:10" x14ac:dyDescent="0.35">
      <c r="A45" s="1">
        <v>45810</v>
      </c>
      <c r="B45">
        <v>159.68</v>
      </c>
      <c r="C45" s="12">
        <v>1.0952833E-2</v>
      </c>
      <c r="D45" s="12">
        <v>-1.0840611999999999E-2</v>
      </c>
      <c r="E45" s="13">
        <v>44</v>
      </c>
      <c r="F45" s="12">
        <f t="shared" ca="1" si="0"/>
        <v>-8.7150198027407012E-3</v>
      </c>
      <c r="G45" s="13"/>
      <c r="H45" s="13"/>
      <c r="I45" s="13"/>
      <c r="J45" s="17"/>
    </row>
    <row r="46" spans="1:10" x14ac:dyDescent="0.35">
      <c r="A46" s="1">
        <v>45819</v>
      </c>
      <c r="B46">
        <v>157.94999999999999</v>
      </c>
      <c r="C46" s="12">
        <v>0.151239067</v>
      </c>
      <c r="D46" s="12">
        <v>-1.0772218E-2</v>
      </c>
      <c r="E46" s="13">
        <v>45</v>
      </c>
      <c r="F46" s="12">
        <f t="shared" ca="1" si="0"/>
        <v>1.5088336726552076E-2</v>
      </c>
      <c r="G46" s="13"/>
      <c r="H46" s="13"/>
      <c r="I46" s="13"/>
      <c r="J46" s="17"/>
    </row>
    <row r="47" spans="1:10" x14ac:dyDescent="0.35">
      <c r="A47" s="1">
        <v>45708</v>
      </c>
      <c r="B47">
        <v>137.19999999999999</v>
      </c>
      <c r="C47" s="12">
        <v>-0.124609201</v>
      </c>
      <c r="D47" s="12">
        <v>-1.0743384999999999E-2</v>
      </c>
      <c r="E47" s="13">
        <v>46</v>
      </c>
      <c r="F47" s="12">
        <f t="shared" ca="1" si="0"/>
        <v>2.5818447704107805E-2</v>
      </c>
      <c r="G47" s="13"/>
      <c r="H47" s="13"/>
      <c r="I47" s="13"/>
      <c r="J47" s="17"/>
    </row>
    <row r="48" spans="1:10" x14ac:dyDescent="0.35">
      <c r="A48" s="1">
        <v>45724</v>
      </c>
      <c r="B48">
        <v>156.72999999999999</v>
      </c>
      <c r="C48" s="12">
        <v>-3.9402609999999996E-3</v>
      </c>
      <c r="D48" s="12">
        <v>-1.0667845E-2</v>
      </c>
      <c r="E48" s="13">
        <v>47</v>
      </c>
      <c r="F48" s="12">
        <f t="shared" ca="1" si="0"/>
        <v>-1.294755293688139E-2</v>
      </c>
      <c r="G48" s="13"/>
      <c r="H48" s="13"/>
      <c r="I48" s="13"/>
      <c r="J48" s="17"/>
    </row>
    <row r="49" spans="1:10" x14ac:dyDescent="0.35">
      <c r="A49" s="1">
        <v>45769</v>
      </c>
      <c r="B49">
        <v>157.35</v>
      </c>
      <c r="C49" s="12">
        <v>1.27121E-4</v>
      </c>
      <c r="D49" s="12">
        <v>-1.0626258E-2</v>
      </c>
      <c r="E49" s="13">
        <v>48</v>
      </c>
      <c r="F49" s="12">
        <f t="shared" ca="1" si="0"/>
        <v>3.1665662449108657E-2</v>
      </c>
      <c r="G49" s="13"/>
      <c r="H49" s="13"/>
      <c r="I49" s="13"/>
      <c r="J49" s="17"/>
    </row>
    <row r="50" spans="1:10" x14ac:dyDescent="0.35">
      <c r="A50" s="1">
        <v>45801</v>
      </c>
      <c r="B50">
        <v>157.33000000000001</v>
      </c>
      <c r="C50" s="12">
        <v>-1.5210315E-2</v>
      </c>
      <c r="D50" s="12">
        <v>-1.0503145E-2</v>
      </c>
      <c r="E50" s="13">
        <v>49</v>
      </c>
      <c r="F50" s="12">
        <f t="shared" ca="1" si="0"/>
        <v>3.9212026107635616E-3</v>
      </c>
      <c r="G50" s="13"/>
      <c r="H50" s="13"/>
      <c r="I50" s="13"/>
      <c r="J50" s="17"/>
    </row>
    <row r="51" spans="1:10" x14ac:dyDescent="0.35">
      <c r="A51" s="1">
        <v>45788</v>
      </c>
      <c r="B51">
        <v>159.76</v>
      </c>
      <c r="C51" s="12">
        <v>2.6207604999999998E-2</v>
      </c>
      <c r="D51" s="12">
        <v>-1.0467637E-2</v>
      </c>
      <c r="E51" s="13">
        <v>50</v>
      </c>
      <c r="F51" s="12">
        <f t="shared" ca="1" si="0"/>
        <v>2.2493316987652182E-2</v>
      </c>
      <c r="G51" s="13"/>
      <c r="H51" s="13"/>
      <c r="I51" s="13"/>
      <c r="J51" s="17"/>
    </row>
    <row r="52" spans="1:10" x14ac:dyDescent="0.35">
      <c r="A52" s="1">
        <v>45774</v>
      </c>
      <c r="B52">
        <v>155.68</v>
      </c>
      <c r="C52" s="12">
        <v>-9.6039948999999999E-2</v>
      </c>
      <c r="D52" s="12">
        <v>-1.0424612E-2</v>
      </c>
      <c r="E52" s="13">
        <v>51</v>
      </c>
      <c r="F52" s="12">
        <f t="shared" ca="1" si="0"/>
        <v>5.1995811225628982E-4</v>
      </c>
      <c r="G52" s="13"/>
      <c r="H52" s="13"/>
      <c r="I52" s="13"/>
      <c r="J52" s="17"/>
    </row>
    <row r="53" spans="1:10" x14ac:dyDescent="0.35">
      <c r="A53" s="1">
        <v>45872</v>
      </c>
      <c r="B53">
        <v>172.22</v>
      </c>
      <c r="C53" s="12">
        <v>0.12857142899999999</v>
      </c>
      <c r="D53" s="12">
        <v>-1.0229884999999999E-2</v>
      </c>
      <c r="E53" s="13">
        <v>52</v>
      </c>
      <c r="F53" s="12">
        <f t="shared" ca="1" si="0"/>
        <v>1.8367334659154293E-2</v>
      </c>
      <c r="G53" s="13"/>
      <c r="H53" s="13"/>
      <c r="I53" s="13"/>
      <c r="J53" s="17"/>
    </row>
    <row r="54" spans="1:10" x14ac:dyDescent="0.35">
      <c r="A54" s="1">
        <v>45779</v>
      </c>
      <c r="B54">
        <v>152.6</v>
      </c>
      <c r="C54" s="12">
        <v>8.9377498999999999E-2</v>
      </c>
      <c r="D54" s="12">
        <v>-1.0183564000000001E-2</v>
      </c>
      <c r="E54" s="13">
        <v>53</v>
      </c>
      <c r="F54" s="12">
        <f t="shared" ca="1" si="0"/>
        <v>1.8726983328422236E-2</v>
      </c>
      <c r="G54" s="13"/>
      <c r="H54" s="13"/>
      <c r="I54" s="13"/>
      <c r="J54" s="17"/>
    </row>
    <row r="55" spans="1:10" x14ac:dyDescent="0.35">
      <c r="A55" s="1">
        <v>45746</v>
      </c>
      <c r="B55">
        <v>140.08000000000001</v>
      </c>
      <c r="C55" s="12">
        <v>-0.21479820599999999</v>
      </c>
      <c r="D55" s="12">
        <v>-1.0035336000000001E-2</v>
      </c>
      <c r="E55" s="13">
        <v>54</v>
      </c>
      <c r="F55" s="12">
        <f t="shared" ca="1" si="0"/>
        <v>-1.435563011883341E-2</v>
      </c>
      <c r="G55" s="13"/>
      <c r="H55" s="13"/>
      <c r="I55" s="13"/>
      <c r="J55" s="17"/>
    </row>
    <row r="56" spans="1:10" x14ac:dyDescent="0.35">
      <c r="A56" s="1">
        <v>45932</v>
      </c>
      <c r="B56">
        <v>178.4</v>
      </c>
      <c r="C56" s="12">
        <v>6.1083684999999999E-2</v>
      </c>
      <c r="D56" s="12">
        <v>-9.5491889999999996E-3</v>
      </c>
      <c r="E56" s="13">
        <v>55</v>
      </c>
      <c r="F56" s="12">
        <f t="shared" ca="1" si="0"/>
        <v>1.5893515932101403E-2</v>
      </c>
      <c r="G56" s="13"/>
      <c r="H56" s="13"/>
      <c r="I56" s="13"/>
      <c r="J56" s="17"/>
    </row>
    <row r="57" spans="1:10" x14ac:dyDescent="0.35">
      <c r="A57" s="1">
        <v>45901</v>
      </c>
      <c r="B57">
        <v>168.13</v>
      </c>
      <c r="C57" s="12">
        <v>9.4382608000000007E-2</v>
      </c>
      <c r="D57" s="12">
        <v>-9.076443E-3</v>
      </c>
      <c r="E57" s="13">
        <v>56</v>
      </c>
      <c r="F57" s="12">
        <f t="shared" ca="1" si="0"/>
        <v>2.0301288317365052E-3</v>
      </c>
      <c r="G57" s="13"/>
      <c r="H57" s="13"/>
      <c r="I57" s="13"/>
      <c r="J57" s="17"/>
    </row>
    <row r="58" spans="1:10" x14ac:dyDescent="0.35">
      <c r="A58" s="1">
        <v>45832</v>
      </c>
      <c r="B58">
        <v>153.63</v>
      </c>
      <c r="C58" s="12">
        <v>-3.3773585000000002E-2</v>
      </c>
      <c r="D58" s="12">
        <v>-9.0305100000000003E-3</v>
      </c>
      <c r="E58" s="13">
        <v>57</v>
      </c>
      <c r="F58" s="12">
        <f t="shared" ca="1" si="0"/>
        <v>2.7921686909379823E-2</v>
      </c>
      <c r="G58" s="13"/>
      <c r="H58" s="13"/>
      <c r="I58" s="13"/>
      <c r="J58" s="17"/>
    </row>
    <row r="59" spans="1:10" x14ac:dyDescent="0.35">
      <c r="A59" s="1">
        <v>45800</v>
      </c>
      <c r="B59">
        <v>159</v>
      </c>
      <c r="C59" s="12">
        <v>0.20619025899999999</v>
      </c>
      <c r="D59" s="12">
        <v>-8.9753179999999995E-3</v>
      </c>
      <c r="E59" s="13">
        <v>58</v>
      </c>
      <c r="F59" s="12">
        <f t="shared" ca="1" si="0"/>
        <v>3.0036639000277708E-4</v>
      </c>
      <c r="G59" s="13"/>
      <c r="H59" s="13"/>
      <c r="I59" s="13"/>
      <c r="J59" s="17"/>
    </row>
    <row r="60" spans="1:10" x14ac:dyDescent="0.35">
      <c r="A60" s="1">
        <v>45690</v>
      </c>
      <c r="B60">
        <v>131.82</v>
      </c>
      <c r="C60" s="12">
        <v>-0.27904178499999999</v>
      </c>
      <c r="D60" s="12">
        <v>-8.6485669999999994E-3</v>
      </c>
      <c r="E60" s="13">
        <v>59</v>
      </c>
      <c r="F60" s="12">
        <f t="shared" ca="1" si="0"/>
        <v>-1.6326376157249207E-2</v>
      </c>
      <c r="G60" s="13"/>
      <c r="H60" s="13"/>
      <c r="I60" s="13"/>
      <c r="J60" s="17"/>
    </row>
    <row r="61" spans="1:10" x14ac:dyDescent="0.35">
      <c r="A61" s="1">
        <v>45883</v>
      </c>
      <c r="B61">
        <v>182.84</v>
      </c>
      <c r="C61" s="12">
        <v>-2.5425084000000001E-2</v>
      </c>
      <c r="D61" s="12">
        <v>-8.1909410000000002E-3</v>
      </c>
      <c r="E61" s="13">
        <v>60</v>
      </c>
      <c r="F61" s="12">
        <f t="shared" ca="1" si="0"/>
        <v>-4.3509543765062816E-2</v>
      </c>
      <c r="G61" s="13"/>
      <c r="H61" s="13"/>
      <c r="I61" s="13"/>
      <c r="J61" s="17"/>
    </row>
    <row r="62" spans="1:10" x14ac:dyDescent="0.35">
      <c r="A62" s="1">
        <v>45941</v>
      </c>
      <c r="B62">
        <v>187.61</v>
      </c>
      <c r="C62" s="12">
        <v>0.216351141</v>
      </c>
      <c r="D62" s="12">
        <v>-7.8794290000000003E-3</v>
      </c>
      <c r="E62" s="13">
        <v>61</v>
      </c>
      <c r="F62" s="12">
        <f t="shared" ca="1" si="0"/>
        <v>-7.3016820494196302E-3</v>
      </c>
      <c r="G62" s="13"/>
      <c r="H62" s="13"/>
      <c r="I62" s="13"/>
      <c r="J62" s="17"/>
    </row>
    <row r="63" spans="1:10" x14ac:dyDescent="0.35">
      <c r="A63" s="1">
        <v>45727</v>
      </c>
      <c r="B63">
        <v>154.24</v>
      </c>
      <c r="C63" s="12">
        <v>-7.9219151000000002E-2</v>
      </c>
      <c r="D63" s="12">
        <v>-7.5923300000000004E-3</v>
      </c>
      <c r="E63" s="13">
        <v>62</v>
      </c>
      <c r="F63" s="12">
        <f t="shared" ca="1" si="0"/>
        <v>-9.8526107864915016E-3</v>
      </c>
      <c r="G63" s="13"/>
      <c r="H63" s="13"/>
      <c r="I63" s="13"/>
      <c r="J63" s="17"/>
    </row>
    <row r="64" spans="1:10" x14ac:dyDescent="0.35">
      <c r="A64" s="1">
        <v>45858</v>
      </c>
      <c r="B64">
        <v>167.51</v>
      </c>
      <c r="C64" s="12">
        <v>0.212434858</v>
      </c>
      <c r="D64" s="12">
        <v>-7.4657819999999998E-3</v>
      </c>
      <c r="E64" s="13">
        <v>63</v>
      </c>
      <c r="F64" s="12">
        <f t="shared" ca="1" si="0"/>
        <v>3.7735091357448618E-2</v>
      </c>
      <c r="G64" s="13"/>
      <c r="H64" s="13"/>
      <c r="I64" s="13"/>
      <c r="J64" s="17"/>
    </row>
    <row r="65" spans="1:10" x14ac:dyDescent="0.35">
      <c r="A65" s="1">
        <v>45740</v>
      </c>
      <c r="B65">
        <v>138.16</v>
      </c>
      <c r="C65" s="12">
        <v>-8.5033112999999994E-2</v>
      </c>
      <c r="D65" s="12">
        <v>-7.3286389999999996E-3</v>
      </c>
      <c r="E65" s="13">
        <v>64</v>
      </c>
      <c r="F65" s="12">
        <f t="shared" ca="1" si="0"/>
        <v>-2.0028378618056817E-2</v>
      </c>
      <c r="G65" s="13"/>
      <c r="H65" s="13"/>
      <c r="I65" s="13"/>
      <c r="J65" s="17"/>
    </row>
    <row r="66" spans="1:10" x14ac:dyDescent="0.35">
      <c r="A66" s="1">
        <v>45781</v>
      </c>
      <c r="B66">
        <v>151</v>
      </c>
      <c r="C66" s="12">
        <v>-1.3845349999999999E-2</v>
      </c>
      <c r="D66" s="12">
        <v>-7.2973509999999997E-3</v>
      </c>
      <c r="E66" s="13">
        <v>65</v>
      </c>
      <c r="F66" s="12">
        <f t="shared" ca="1" si="0"/>
        <v>1.8266735022889568E-2</v>
      </c>
      <c r="G66" s="13"/>
      <c r="H66" s="13"/>
      <c r="I66" s="13"/>
      <c r="J66" s="17"/>
    </row>
    <row r="67" spans="1:10" x14ac:dyDescent="0.35">
      <c r="A67" s="1">
        <v>45728</v>
      </c>
      <c r="B67">
        <v>153.12</v>
      </c>
      <c r="C67" s="12">
        <v>-3.2547850000000001E-3</v>
      </c>
      <c r="D67" s="12">
        <v>-7.2614109999999997E-3</v>
      </c>
      <c r="E67" s="13">
        <v>66</v>
      </c>
      <c r="F67" s="12">
        <f t="shared" ref="F67:F130" ca="1" si="3">_xlfn.NORM.INV(RAND(),$I$3,$I$4)</f>
        <v>1.8963564537219063E-3</v>
      </c>
      <c r="G67" s="13"/>
      <c r="H67" s="13"/>
      <c r="I67" s="13"/>
      <c r="J67" s="17"/>
    </row>
    <row r="68" spans="1:10" x14ac:dyDescent="0.35">
      <c r="A68" s="1">
        <v>45730</v>
      </c>
      <c r="B68">
        <v>153.62</v>
      </c>
      <c r="C68" s="12">
        <v>-0.11289484299999999</v>
      </c>
      <c r="D68" s="12">
        <v>-6.91706E-3</v>
      </c>
      <c r="E68" s="13">
        <v>67</v>
      </c>
      <c r="F68" s="12">
        <f t="shared" ca="1" si="3"/>
        <v>5.0345565625089534E-3</v>
      </c>
      <c r="G68" s="13"/>
      <c r="H68" s="13"/>
      <c r="I68" s="13"/>
      <c r="J68" s="17"/>
    </row>
    <row r="69" spans="1:10" x14ac:dyDescent="0.35">
      <c r="A69" s="1">
        <v>45893</v>
      </c>
      <c r="B69">
        <v>173.17</v>
      </c>
      <c r="C69" s="12">
        <v>3.8127211000000001E-2</v>
      </c>
      <c r="D69" s="12">
        <v>-6.2550210000000004E-3</v>
      </c>
      <c r="E69" s="13">
        <v>68</v>
      </c>
      <c r="F69" s="12">
        <f t="shared" ca="1" si="3"/>
        <v>-1.245819801288528E-2</v>
      </c>
      <c r="G69" s="13"/>
      <c r="H69" s="13"/>
      <c r="I69" s="13"/>
      <c r="J69" s="17"/>
    </row>
    <row r="70" spans="1:10" x14ac:dyDescent="0.35">
      <c r="A70" s="1">
        <v>45837</v>
      </c>
      <c r="B70">
        <v>166.81</v>
      </c>
      <c r="C70" s="12">
        <v>0.16830088200000001</v>
      </c>
      <c r="D70" s="12">
        <v>-6.1960080000000002E-3</v>
      </c>
      <c r="E70" s="13">
        <v>69</v>
      </c>
      <c r="F70" s="12">
        <f t="shared" ca="1" si="3"/>
        <v>1.3096176596920578E-2</v>
      </c>
      <c r="G70" s="13"/>
      <c r="H70" s="13"/>
      <c r="I70" s="13"/>
      <c r="J70" s="17"/>
    </row>
    <row r="71" spans="1:10" x14ac:dyDescent="0.35">
      <c r="A71" s="1">
        <v>45752</v>
      </c>
      <c r="B71">
        <v>142.78</v>
      </c>
      <c r="C71" s="12">
        <v>-0.100088239</v>
      </c>
      <c r="D71" s="12">
        <v>-6.1947520000000004E-3</v>
      </c>
      <c r="E71" s="13">
        <v>70</v>
      </c>
      <c r="F71" s="12">
        <f t="shared" ca="1" si="3"/>
        <v>2.3318560828761839E-2</v>
      </c>
      <c r="G71" s="13"/>
      <c r="H71" s="13"/>
      <c r="I71" s="13"/>
      <c r="J71" s="17"/>
    </row>
    <row r="72" spans="1:10" x14ac:dyDescent="0.35">
      <c r="A72" s="1">
        <v>45817</v>
      </c>
      <c r="B72">
        <v>158.66</v>
      </c>
      <c r="C72" s="12">
        <v>1.8291509000000001E-2</v>
      </c>
      <c r="D72" s="12">
        <v>-6.0142839999999999E-3</v>
      </c>
      <c r="E72" s="13">
        <v>71</v>
      </c>
      <c r="F72" s="12">
        <f t="shared" ca="1" si="3"/>
        <v>2.0892876602318471E-2</v>
      </c>
      <c r="G72" s="13"/>
      <c r="H72" s="13"/>
      <c r="I72" s="13"/>
      <c r="J72" s="17"/>
    </row>
    <row r="73" spans="1:10" x14ac:dyDescent="0.35">
      <c r="A73" s="1">
        <v>45725</v>
      </c>
      <c r="B73">
        <v>155.81</v>
      </c>
      <c r="C73" s="12">
        <v>-7.8701514E-2</v>
      </c>
      <c r="D73" s="12">
        <v>-5.8699670000000002E-3</v>
      </c>
      <c r="E73" s="13">
        <v>72</v>
      </c>
      <c r="F73" s="12">
        <f t="shared" ca="1" si="3"/>
        <v>1.6249981035725725E-2</v>
      </c>
      <c r="G73" s="13"/>
      <c r="H73" s="13"/>
      <c r="I73" s="13"/>
      <c r="J73" s="17"/>
    </row>
    <row r="74" spans="1:10" x14ac:dyDescent="0.35">
      <c r="A74" s="1">
        <v>45922</v>
      </c>
      <c r="B74">
        <v>169.12</v>
      </c>
      <c r="C74" s="12">
        <v>-0.101429255</v>
      </c>
      <c r="D74" s="12">
        <v>-5.5859350000000002E-3</v>
      </c>
      <c r="E74" s="13">
        <v>73</v>
      </c>
      <c r="F74" s="12">
        <f t="shared" ca="1" si="3"/>
        <v>-1.697670079509948E-2</v>
      </c>
      <c r="G74" s="13"/>
      <c r="H74" s="13"/>
    </row>
    <row r="75" spans="1:10" x14ac:dyDescent="0.35">
      <c r="A75" s="1">
        <v>45936</v>
      </c>
      <c r="B75">
        <v>188.21</v>
      </c>
      <c r="C75" s="12">
        <v>0.16423357699999999</v>
      </c>
      <c r="D75" s="12">
        <v>-5.4953759999999997E-3</v>
      </c>
      <c r="E75" s="13">
        <v>74</v>
      </c>
      <c r="F75" s="12">
        <f t="shared" ca="1" si="3"/>
        <v>-2.454053811940745E-2</v>
      </c>
      <c r="G75" s="13"/>
      <c r="H75" s="13"/>
    </row>
    <row r="76" spans="1:10" x14ac:dyDescent="0.35">
      <c r="A76" s="1">
        <v>45764</v>
      </c>
      <c r="B76">
        <v>161.66</v>
      </c>
      <c r="C76" s="12">
        <v>-3.1512102E-2</v>
      </c>
      <c r="D76" s="12">
        <v>-5.230447E-3</v>
      </c>
      <c r="E76" s="13">
        <v>75</v>
      </c>
      <c r="F76" s="12">
        <f t="shared" ca="1" si="3"/>
        <v>1.4280638145033157E-3</v>
      </c>
      <c r="G76" s="13"/>
      <c r="H76" s="13"/>
    </row>
    <row r="77" spans="1:10" x14ac:dyDescent="0.35">
      <c r="A77" s="1">
        <v>45905</v>
      </c>
      <c r="B77">
        <v>166.92</v>
      </c>
      <c r="C77" s="12">
        <v>4.4294293999999998E-2</v>
      </c>
      <c r="D77" s="12">
        <v>-5.12576E-3</v>
      </c>
      <c r="E77" s="13">
        <v>76</v>
      </c>
      <c r="F77" s="12">
        <f t="shared" ca="1" si="3"/>
        <v>-1.9728214687822088E-2</v>
      </c>
      <c r="G77" s="13"/>
    </row>
    <row r="78" spans="1:10" x14ac:dyDescent="0.35">
      <c r="A78" s="1">
        <v>45797</v>
      </c>
      <c r="B78">
        <v>159.84</v>
      </c>
      <c r="C78" s="12">
        <v>-4.7323877E-2</v>
      </c>
      <c r="D78" s="12">
        <v>-5.1039459999999998E-3</v>
      </c>
      <c r="E78" s="13">
        <v>77</v>
      </c>
      <c r="F78" s="12">
        <f t="shared" ca="1" si="3"/>
        <v>4.6104669240302149E-3</v>
      </c>
      <c r="G78" s="13"/>
    </row>
    <row r="79" spans="1:10" x14ac:dyDescent="0.35">
      <c r="A79" s="1">
        <v>45904</v>
      </c>
      <c r="B79">
        <v>167.78</v>
      </c>
      <c r="C79" s="12">
        <v>0.102872543</v>
      </c>
      <c r="D79" s="12">
        <v>-5.0406210000000003E-3</v>
      </c>
      <c r="E79" s="13">
        <v>78</v>
      </c>
      <c r="F79" s="12">
        <f t="shared" ca="1" si="3"/>
        <v>-1.1343113244699684E-2</v>
      </c>
      <c r="G79" s="13"/>
    </row>
    <row r="80" spans="1:10" x14ac:dyDescent="0.35">
      <c r="A80" s="1">
        <v>45777</v>
      </c>
      <c r="B80">
        <v>152.13</v>
      </c>
      <c r="C80" s="12">
        <v>-0.105485976</v>
      </c>
      <c r="D80" s="12">
        <v>-4.970894E-3</v>
      </c>
      <c r="E80" s="13">
        <v>79</v>
      </c>
      <c r="F80" s="12">
        <f t="shared" ca="1" si="3"/>
        <v>1.868290529492716E-3</v>
      </c>
      <c r="G80" s="13"/>
    </row>
    <row r="81" spans="1:7" x14ac:dyDescent="0.35">
      <c r="A81" s="1">
        <v>45921</v>
      </c>
      <c r="B81">
        <v>170.07</v>
      </c>
      <c r="C81" s="12">
        <v>-1.7106860000000002E-2</v>
      </c>
      <c r="D81" s="12">
        <v>-4.8566410000000001E-3</v>
      </c>
      <c r="E81" s="13">
        <v>80</v>
      </c>
      <c r="F81" s="12">
        <f t="shared" ca="1" si="3"/>
        <v>9.9223770533760493E-4</v>
      </c>
      <c r="G81" s="13"/>
    </row>
    <row r="82" spans="1:7" x14ac:dyDescent="0.35">
      <c r="A82" s="1">
        <v>45866</v>
      </c>
      <c r="B82">
        <v>173.03</v>
      </c>
      <c r="C82" s="12">
        <v>-6.1404936E-2</v>
      </c>
      <c r="D82" s="12">
        <v>-4.7739560000000002E-3</v>
      </c>
      <c r="E82" s="13">
        <v>81</v>
      </c>
      <c r="F82" s="12">
        <f t="shared" ca="1" si="3"/>
        <v>-1.3403882120248406E-2</v>
      </c>
      <c r="G82" s="13"/>
    </row>
    <row r="83" spans="1:7" x14ac:dyDescent="0.35">
      <c r="A83" s="1">
        <v>45881</v>
      </c>
      <c r="B83">
        <v>184.35</v>
      </c>
      <c r="C83" s="12">
        <v>6.8943523000000007E-2</v>
      </c>
      <c r="D83" s="12">
        <v>-4.5358819999999998E-3</v>
      </c>
      <c r="E83" s="13">
        <v>82</v>
      </c>
      <c r="F83" s="12">
        <f t="shared" ca="1" si="3"/>
        <v>-1.2383009566581745E-2</v>
      </c>
      <c r="G83" s="13"/>
    </row>
    <row r="84" spans="1:7" x14ac:dyDescent="0.35">
      <c r="A84" s="1">
        <v>45896</v>
      </c>
      <c r="B84">
        <v>172.46</v>
      </c>
      <c r="C84" s="12">
        <v>0.25818924599999998</v>
      </c>
      <c r="D84" s="12">
        <v>-4.3300040000000001E-3</v>
      </c>
      <c r="E84" s="13">
        <v>83</v>
      </c>
      <c r="F84" s="12">
        <f t="shared" ca="1" si="3"/>
        <v>3.9624279438345254E-3</v>
      </c>
      <c r="G84" s="13"/>
    </row>
    <row r="85" spans="1:7" x14ac:dyDescent="0.35">
      <c r="A85" s="1">
        <v>45706</v>
      </c>
      <c r="B85">
        <v>137.07</v>
      </c>
      <c r="C85" s="12">
        <v>-0.205160916</v>
      </c>
      <c r="D85" s="12">
        <v>-4.2135849999999997E-3</v>
      </c>
      <c r="E85" s="13">
        <v>84</v>
      </c>
      <c r="F85" s="12">
        <f t="shared" ca="1" si="3"/>
        <v>5.5655696665199775E-3</v>
      </c>
      <c r="G85" s="13"/>
    </row>
    <row r="86" spans="1:7" x14ac:dyDescent="0.35">
      <c r="A86" s="1">
        <v>45894</v>
      </c>
      <c r="B86">
        <v>172.45</v>
      </c>
      <c r="C86" s="12">
        <v>0.21872791499999999</v>
      </c>
      <c r="D86" s="12">
        <v>-4.1577640000000004E-3</v>
      </c>
      <c r="E86" s="13">
        <v>85</v>
      </c>
      <c r="F86" s="12">
        <f t="shared" ca="1" si="3"/>
        <v>2.6641321954137781E-3</v>
      </c>
      <c r="G86" s="13"/>
    </row>
    <row r="87" spans="1:7" x14ac:dyDescent="0.35">
      <c r="A87" s="1">
        <v>45745</v>
      </c>
      <c r="B87">
        <v>141.5</v>
      </c>
      <c r="C87" s="12">
        <v>-0.174253035</v>
      </c>
      <c r="D87" s="12">
        <v>-4.012107E-3</v>
      </c>
      <c r="E87" s="13">
        <v>86</v>
      </c>
      <c r="F87" s="12">
        <f t="shared" ca="1" si="3"/>
        <v>2.2305420032529409E-2</v>
      </c>
      <c r="G87" s="13"/>
    </row>
    <row r="88" spans="1:7" x14ac:dyDescent="0.35">
      <c r="A88" s="1">
        <v>45847</v>
      </c>
      <c r="B88">
        <v>171.36</v>
      </c>
      <c r="C88" s="12">
        <v>5.5172414000000003E-2</v>
      </c>
      <c r="D88" s="12">
        <v>-3.836763E-3</v>
      </c>
      <c r="E88" s="13">
        <v>87</v>
      </c>
      <c r="F88" s="12">
        <f t="shared" ca="1" si="3"/>
        <v>4.6227799903984183E-3</v>
      </c>
      <c r="G88" s="13"/>
    </row>
    <row r="89" spans="1:7" x14ac:dyDescent="0.35">
      <c r="A89" s="1">
        <v>45793</v>
      </c>
      <c r="B89">
        <v>162.4</v>
      </c>
      <c r="C89" s="12">
        <v>-0.110478173</v>
      </c>
      <c r="D89" s="12">
        <v>-3.7421020000000002E-3</v>
      </c>
      <c r="E89" s="13">
        <v>88</v>
      </c>
      <c r="F89" s="12">
        <f t="shared" ca="1" si="3"/>
        <v>3.0406343700499574E-2</v>
      </c>
      <c r="G89" s="13"/>
    </row>
    <row r="90" spans="1:7" x14ac:dyDescent="0.35">
      <c r="A90" s="1">
        <v>45934</v>
      </c>
      <c r="B90">
        <v>182.57</v>
      </c>
      <c r="C90" s="12">
        <v>5.7396038000000003E-2</v>
      </c>
      <c r="D90" s="12">
        <v>-3.656407E-3</v>
      </c>
      <c r="E90" s="13">
        <v>89</v>
      </c>
      <c r="F90" s="12">
        <f t="shared" ca="1" si="3"/>
        <v>4.8325576918002624E-5</v>
      </c>
      <c r="G90" s="13"/>
    </row>
    <row r="91" spans="1:7" x14ac:dyDescent="0.35">
      <c r="A91" s="1">
        <v>45852</v>
      </c>
      <c r="B91">
        <v>172.66</v>
      </c>
      <c r="C91" s="12">
        <v>0.14306521</v>
      </c>
      <c r="D91" s="12">
        <v>-3.6355239999999998E-3</v>
      </c>
      <c r="E91" s="13">
        <v>90</v>
      </c>
      <c r="F91" s="12">
        <f t="shared" ca="1" si="3"/>
        <v>-1.8295770984805334E-2</v>
      </c>
      <c r="G91" s="13"/>
    </row>
    <row r="92" spans="1:7" x14ac:dyDescent="0.35">
      <c r="A92" s="1">
        <v>45714</v>
      </c>
      <c r="B92">
        <v>151.05000000000001</v>
      </c>
      <c r="C92" s="12">
        <v>-0.107427761</v>
      </c>
      <c r="D92" s="12">
        <v>-3.365004E-3</v>
      </c>
      <c r="E92" s="13">
        <v>91</v>
      </c>
      <c r="F92" s="12">
        <f t="shared" ca="1" si="3"/>
        <v>7.799963720711579E-3</v>
      </c>
      <c r="G92" s="13"/>
    </row>
    <row r="93" spans="1:7" x14ac:dyDescent="0.35">
      <c r="A93" s="1">
        <v>45845</v>
      </c>
      <c r="B93">
        <v>169.23</v>
      </c>
      <c r="C93" s="12">
        <v>0.112550128</v>
      </c>
      <c r="D93" s="12">
        <v>-3.2394860000000002E-3</v>
      </c>
      <c r="E93" s="13">
        <v>92</v>
      </c>
      <c r="F93" s="12">
        <f t="shared" ca="1" si="3"/>
        <v>4.041544991797718E-3</v>
      </c>
      <c r="G93" s="13"/>
    </row>
    <row r="94" spans="1:7" x14ac:dyDescent="0.35">
      <c r="A94" s="1">
        <v>45780</v>
      </c>
      <c r="B94">
        <v>152.11000000000001</v>
      </c>
      <c r="C94" s="12">
        <v>-0.11295777899999999</v>
      </c>
      <c r="D94" s="12">
        <v>-3.2110089999999999E-3</v>
      </c>
      <c r="E94" s="13">
        <v>93</v>
      </c>
      <c r="F94" s="12">
        <f t="shared" ca="1" si="3"/>
        <v>2.330247088724989E-2</v>
      </c>
      <c r="G94" s="13"/>
    </row>
    <row r="95" spans="1:7" x14ac:dyDescent="0.35">
      <c r="A95" s="1">
        <v>45849</v>
      </c>
      <c r="B95">
        <v>171.48</v>
      </c>
      <c r="C95" s="12">
        <v>8.8831037000000002E-2</v>
      </c>
      <c r="D95" s="12">
        <v>-3.1971170000000002E-3</v>
      </c>
      <c r="E95" s="13">
        <v>94</v>
      </c>
      <c r="F95" s="12">
        <f t="shared" ca="1" si="3"/>
        <v>-1.1225569455849965E-2</v>
      </c>
      <c r="G95" s="13"/>
    </row>
    <row r="96" spans="1:7" x14ac:dyDescent="0.35">
      <c r="A96" s="1">
        <v>45772</v>
      </c>
      <c r="B96">
        <v>157.49</v>
      </c>
      <c r="C96" s="12">
        <v>4.7837657999999998E-2</v>
      </c>
      <c r="D96" s="12">
        <v>-3.0385519999999999E-3</v>
      </c>
      <c r="E96" s="13">
        <v>95</v>
      </c>
      <c r="F96" s="12">
        <f t="shared" ca="1" si="3"/>
        <v>6.4602512971492047E-3</v>
      </c>
      <c r="G96" s="13"/>
    </row>
    <row r="97" spans="1:7" x14ac:dyDescent="0.35">
      <c r="A97" s="1">
        <v>45716</v>
      </c>
      <c r="B97">
        <v>150.30000000000001</v>
      </c>
      <c r="C97" s="12">
        <v>-7.5133837999999994E-2</v>
      </c>
      <c r="D97" s="12">
        <v>-2.9850749999999998E-3</v>
      </c>
      <c r="E97" s="13">
        <v>96</v>
      </c>
      <c r="F97" s="12">
        <f t="shared" ca="1" si="3"/>
        <v>-5.3471533956651347E-3</v>
      </c>
      <c r="G97" s="13"/>
    </row>
    <row r="98" spans="1:7" x14ac:dyDescent="0.35">
      <c r="A98" s="1">
        <v>45763</v>
      </c>
      <c r="B98">
        <v>162.51</v>
      </c>
      <c r="C98" s="12">
        <v>3.3339509999999999E-3</v>
      </c>
      <c r="D98" s="12">
        <v>-2.8226050000000002E-3</v>
      </c>
      <c r="E98" s="13">
        <v>97</v>
      </c>
      <c r="F98" s="12">
        <f t="shared" ca="1" si="3"/>
        <v>-1.0495103443888269E-3</v>
      </c>
      <c r="G98" s="13"/>
    </row>
    <row r="99" spans="1:7" x14ac:dyDescent="0.35">
      <c r="A99" s="1">
        <v>45794</v>
      </c>
      <c r="B99">
        <v>161.97</v>
      </c>
      <c r="C99" s="12">
        <v>4.5274130000000001E-3</v>
      </c>
      <c r="D99" s="12">
        <v>-2.6477829999999999E-3</v>
      </c>
      <c r="E99" s="13">
        <v>98</v>
      </c>
      <c r="F99" s="12">
        <f t="shared" ca="1" si="3"/>
        <v>-1.7627538680020951E-2</v>
      </c>
      <c r="G99" s="13"/>
    </row>
    <row r="100" spans="1:7" x14ac:dyDescent="0.35">
      <c r="A100" s="1">
        <v>45765</v>
      </c>
      <c r="B100">
        <v>161.24</v>
      </c>
      <c r="C100" s="12">
        <v>-1.671723E-3</v>
      </c>
      <c r="D100" s="12">
        <v>-2.5980450000000002E-3</v>
      </c>
      <c r="E100" s="13">
        <v>99</v>
      </c>
      <c r="F100" s="12">
        <f t="shared" ca="1" si="3"/>
        <v>2.6811102427065137E-4</v>
      </c>
      <c r="G100" s="13"/>
    </row>
    <row r="101" spans="1:7" x14ac:dyDescent="0.35">
      <c r="A101" s="1">
        <v>45827</v>
      </c>
      <c r="B101">
        <v>161.51</v>
      </c>
      <c r="C101" s="12">
        <v>3.9184146000000003E-2</v>
      </c>
      <c r="D101" s="12">
        <v>-2.5321150000000001E-3</v>
      </c>
      <c r="E101" s="13">
        <v>100</v>
      </c>
      <c r="F101" s="12">
        <f t="shared" ca="1" si="3"/>
        <v>2.4691674105193333E-2</v>
      </c>
      <c r="G101" s="13"/>
    </row>
    <row r="102" spans="1:7" x14ac:dyDescent="0.35">
      <c r="A102" s="1">
        <v>45726</v>
      </c>
      <c r="B102">
        <v>155.41999999999999</v>
      </c>
      <c r="C102" s="12">
        <v>-0.141515687</v>
      </c>
      <c r="D102" s="12">
        <v>-2.5030489999999998E-3</v>
      </c>
      <c r="E102" s="13">
        <v>101</v>
      </c>
      <c r="F102" s="12">
        <f t="shared" ca="1" si="3"/>
        <v>-1.1431947073262132E-2</v>
      </c>
      <c r="G102" s="13"/>
    </row>
    <row r="103" spans="1:7" x14ac:dyDescent="0.35">
      <c r="A103" s="1">
        <v>45889</v>
      </c>
      <c r="B103">
        <v>181.04</v>
      </c>
      <c r="C103" s="12">
        <v>0.122450245</v>
      </c>
      <c r="D103" s="12">
        <v>-2.4245099999999999E-3</v>
      </c>
      <c r="E103" s="13">
        <v>102</v>
      </c>
      <c r="F103" s="12">
        <f t="shared" ca="1" si="3"/>
        <v>2.3655666557991218E-2</v>
      </c>
      <c r="G103" s="13"/>
    </row>
    <row r="104" spans="1:7" x14ac:dyDescent="0.35">
      <c r="A104" s="1">
        <v>45761</v>
      </c>
      <c r="B104">
        <v>161.29</v>
      </c>
      <c r="C104" s="12">
        <v>-4.3381300000000002E-4</v>
      </c>
      <c r="D104" s="12">
        <v>-2.1653060000000001E-3</v>
      </c>
      <c r="E104" s="13">
        <v>103</v>
      </c>
      <c r="F104" s="12">
        <f t="shared" ca="1" si="3"/>
        <v>-2.0732327523306376E-2</v>
      </c>
      <c r="G104" s="13"/>
    </row>
    <row r="105" spans="1:7" x14ac:dyDescent="0.35">
      <c r="A105" s="1">
        <v>45812</v>
      </c>
      <c r="B105">
        <v>161.36000000000001</v>
      </c>
      <c r="C105" s="12">
        <v>7.0381425999999997E-2</v>
      </c>
      <c r="D105" s="12">
        <v>-2.0409429999999999E-3</v>
      </c>
      <c r="E105" s="13">
        <v>104</v>
      </c>
      <c r="F105" s="12">
        <f t="shared" ca="1" si="3"/>
        <v>2.5591275128260142E-2</v>
      </c>
      <c r="G105" s="13"/>
    </row>
    <row r="106" spans="1:7" x14ac:dyDescent="0.35">
      <c r="A106" s="1">
        <v>45715</v>
      </c>
      <c r="B106">
        <v>150.75</v>
      </c>
      <c r="C106" s="12">
        <v>-7.3846532000000006E-2</v>
      </c>
      <c r="D106" s="12">
        <v>-1.986097E-3</v>
      </c>
      <c r="E106" s="13">
        <v>105</v>
      </c>
      <c r="F106" s="12">
        <f t="shared" ca="1" si="3"/>
        <v>-1.3687473100224263E-2</v>
      </c>
      <c r="G106" s="13"/>
    </row>
    <row r="107" spans="1:7" x14ac:dyDescent="0.35">
      <c r="A107" s="1">
        <v>45806</v>
      </c>
      <c r="B107">
        <v>162.77000000000001</v>
      </c>
      <c r="C107" s="12">
        <v>-5.5748926999999997E-2</v>
      </c>
      <c r="D107" s="12">
        <v>-1.6560349999999999E-3</v>
      </c>
      <c r="E107" s="13">
        <v>106</v>
      </c>
      <c r="F107" s="12">
        <f t="shared" ca="1" si="3"/>
        <v>-7.1849146827998155E-4</v>
      </c>
      <c r="G107" s="13"/>
    </row>
    <row r="108" spans="1:7" x14ac:dyDescent="0.35">
      <c r="A108" s="1">
        <v>45853</v>
      </c>
      <c r="B108">
        <v>172.38</v>
      </c>
      <c r="C108" s="12">
        <v>2.5007269999999999E-3</v>
      </c>
      <c r="D108" s="12">
        <v>-1.621684E-3</v>
      </c>
      <c r="E108" s="13">
        <v>107</v>
      </c>
      <c r="F108" s="12">
        <f t="shared" ca="1" si="3"/>
        <v>-1.9892797204652805E-2</v>
      </c>
      <c r="G108" s="13"/>
    </row>
    <row r="109" spans="1:7" x14ac:dyDescent="0.35">
      <c r="A109" s="1">
        <v>45873</v>
      </c>
      <c r="B109">
        <v>171.95</v>
      </c>
      <c r="C109" s="12">
        <v>0.28043785799999998</v>
      </c>
      <c r="D109" s="12">
        <v>-1.5677620000000001E-3</v>
      </c>
      <c r="E109" s="13">
        <v>108</v>
      </c>
      <c r="F109" s="12">
        <f t="shared" ca="1" si="3"/>
        <v>-3.0223971905114139E-2</v>
      </c>
      <c r="G109" s="13"/>
    </row>
    <row r="110" spans="1:7" x14ac:dyDescent="0.35">
      <c r="A110" s="1">
        <v>45700</v>
      </c>
      <c r="B110">
        <v>134.29</v>
      </c>
      <c r="C110" s="12">
        <v>-0.14990187999999999</v>
      </c>
      <c r="D110" s="12">
        <v>-1.3385890000000001E-3</v>
      </c>
      <c r="E110" s="13">
        <v>109</v>
      </c>
      <c r="F110" s="12">
        <f t="shared" ca="1" si="3"/>
        <v>2.2920616467067643E-2</v>
      </c>
      <c r="G110" s="13"/>
    </row>
    <row r="111" spans="1:7" x14ac:dyDescent="0.35">
      <c r="A111" s="1">
        <v>45771</v>
      </c>
      <c r="B111">
        <v>157.97</v>
      </c>
      <c r="C111" s="12">
        <v>-6.3992415999999996E-2</v>
      </c>
      <c r="D111" s="12">
        <v>-1.3276010000000001E-3</v>
      </c>
      <c r="E111" s="13">
        <v>110</v>
      </c>
      <c r="F111" s="12">
        <f t="shared" ca="1" si="3"/>
        <v>-1.5418744397740245E-2</v>
      </c>
      <c r="G111" s="13"/>
    </row>
    <row r="112" spans="1:7" x14ac:dyDescent="0.35">
      <c r="A112" s="1">
        <v>45856</v>
      </c>
      <c r="B112">
        <v>168.77</v>
      </c>
      <c r="C112" s="12">
        <v>7.2781592000000006E-2</v>
      </c>
      <c r="D112" s="12">
        <v>-1.2427510000000001E-3</v>
      </c>
      <c r="E112" s="13">
        <v>111</v>
      </c>
      <c r="F112" s="12">
        <f t="shared" ca="1" si="3"/>
        <v>-7.7357982093583556E-3</v>
      </c>
      <c r="G112" s="13"/>
    </row>
    <row r="113" spans="1:7" x14ac:dyDescent="0.35">
      <c r="A113" s="1">
        <v>45773</v>
      </c>
      <c r="B113">
        <v>157.32</v>
      </c>
      <c r="C113" s="12">
        <v>-6.3348416000000005E-2</v>
      </c>
      <c r="D113" s="12">
        <v>-1.079434E-3</v>
      </c>
      <c r="E113" s="13">
        <v>112</v>
      </c>
      <c r="F113" s="12">
        <f t="shared" ca="1" si="3"/>
        <v>-3.5518224303345094E-3</v>
      </c>
      <c r="G113" s="13"/>
    </row>
    <row r="114" spans="1:7" x14ac:dyDescent="0.35">
      <c r="A114" s="1">
        <v>45902</v>
      </c>
      <c r="B114">
        <v>167.96</v>
      </c>
      <c r="C114" s="12">
        <v>-8.0527728000000007E-2</v>
      </c>
      <c r="D114" s="12">
        <v>-1.0111219999999999E-3</v>
      </c>
      <c r="E114" s="13">
        <v>113</v>
      </c>
      <c r="F114" s="12">
        <f t="shared" ca="1" si="3"/>
        <v>6.5945564173229328E-3</v>
      </c>
      <c r="G114" s="13"/>
    </row>
    <row r="115" spans="1:7" x14ac:dyDescent="0.35">
      <c r="A115" s="1">
        <v>45884</v>
      </c>
      <c r="B115">
        <v>182.67</v>
      </c>
      <c r="C115" s="12">
        <v>9.5340888999999998E-2</v>
      </c>
      <c r="D115" s="12">
        <v>-9.2977499999999998E-4</v>
      </c>
      <c r="E115" s="13">
        <v>114</v>
      </c>
      <c r="F115" s="12">
        <f t="shared" ca="1" si="3"/>
        <v>-5.6434629349353602E-3</v>
      </c>
      <c r="G115" s="13"/>
    </row>
    <row r="116" spans="1:7" x14ac:dyDescent="0.35">
      <c r="A116" s="1">
        <v>45906</v>
      </c>
      <c r="B116">
        <v>166.77</v>
      </c>
      <c r="C116" s="12">
        <v>-2.6956065000000001E-2</v>
      </c>
      <c r="D116" s="12">
        <v>-8.9863400000000004E-4</v>
      </c>
      <c r="E116" s="13">
        <v>115</v>
      </c>
      <c r="F116" s="12">
        <f t="shared" ca="1" si="3"/>
        <v>7.5919873622534943E-3</v>
      </c>
      <c r="G116" s="13"/>
    </row>
    <row r="117" spans="1:7" x14ac:dyDescent="0.35">
      <c r="A117" s="1">
        <v>45850</v>
      </c>
      <c r="B117">
        <v>171.39</v>
      </c>
      <c r="C117" s="12">
        <v>1.1687622E-2</v>
      </c>
      <c r="D117" s="12">
        <v>-5.2484299999999999E-4</v>
      </c>
      <c r="E117" s="13">
        <v>116</v>
      </c>
      <c r="F117" s="12">
        <f t="shared" ca="1" si="3"/>
        <v>-7.9093045785573798E-3</v>
      </c>
      <c r="G117" s="13"/>
    </row>
    <row r="118" spans="1:7" x14ac:dyDescent="0.35">
      <c r="A118" s="1">
        <v>45843</v>
      </c>
      <c r="B118">
        <v>169.41</v>
      </c>
      <c r="C118" s="12">
        <v>-8.7185490000000008E-3</v>
      </c>
      <c r="D118" s="12">
        <v>-1.1804299999999999E-4</v>
      </c>
      <c r="E118" s="13">
        <v>117</v>
      </c>
      <c r="F118" s="12">
        <f t="shared" ca="1" si="3"/>
        <v>1.7675156444421695E-2</v>
      </c>
      <c r="G118" s="13"/>
    </row>
    <row r="119" spans="1:7" x14ac:dyDescent="0.35">
      <c r="A119" s="1">
        <v>45920</v>
      </c>
      <c r="B119">
        <v>170.9</v>
      </c>
      <c r="C119" s="12">
        <v>-7.2959045E-2</v>
      </c>
      <c r="D119" s="12">
        <v>0</v>
      </c>
      <c r="E119" s="13">
        <v>118</v>
      </c>
      <c r="F119" s="12">
        <f t="shared" ca="1" si="3"/>
        <v>6.6857277997318994E-3</v>
      </c>
      <c r="G119" s="13"/>
    </row>
    <row r="120" spans="1:7" x14ac:dyDescent="0.35">
      <c r="A120" s="1">
        <v>45882</v>
      </c>
      <c r="B120">
        <v>184.35</v>
      </c>
      <c r="C120" s="12">
        <v>4.3529900000000003E-2</v>
      </c>
      <c r="D120" s="12">
        <v>0</v>
      </c>
      <c r="E120" s="13">
        <v>119</v>
      </c>
      <c r="F120" s="12">
        <f t="shared" ca="1" si="3"/>
        <v>-1.969679228119684E-3</v>
      </c>
      <c r="G120" s="13"/>
    </row>
    <row r="121" spans="1:7" x14ac:dyDescent="0.35">
      <c r="A121" s="1">
        <v>45878</v>
      </c>
      <c r="B121">
        <v>176.66</v>
      </c>
      <c r="C121" s="12">
        <v>1.5287356E-2</v>
      </c>
      <c r="D121" s="12">
        <v>0</v>
      </c>
      <c r="E121" s="13">
        <v>120</v>
      </c>
      <c r="F121" s="12">
        <f t="shared" ca="1" si="3"/>
        <v>-1.6785622116765393E-3</v>
      </c>
      <c r="G121" s="13"/>
    </row>
    <row r="122" spans="1:7" x14ac:dyDescent="0.35">
      <c r="A122" s="1">
        <v>45871</v>
      </c>
      <c r="B122">
        <v>174</v>
      </c>
      <c r="C122" s="12">
        <v>4.3869779999999997E-3</v>
      </c>
      <c r="D122" s="12">
        <v>0</v>
      </c>
      <c r="E122" s="13">
        <v>121</v>
      </c>
      <c r="F122" s="12">
        <f t="shared" ca="1" si="3"/>
        <v>1.9918689531352288E-2</v>
      </c>
      <c r="G122" s="13"/>
    </row>
    <row r="123" spans="1:7" x14ac:dyDescent="0.35">
      <c r="A123" s="1">
        <v>45869</v>
      </c>
      <c r="B123">
        <v>173.24</v>
      </c>
      <c r="C123" s="12">
        <v>1.8699283000000001E-2</v>
      </c>
      <c r="D123" s="12">
        <v>0</v>
      </c>
      <c r="E123" s="13">
        <v>122</v>
      </c>
      <c r="F123" s="12">
        <f t="shared" ca="1" si="3"/>
        <v>-3.7174680183520346E-2</v>
      </c>
      <c r="G123" s="13"/>
    </row>
    <row r="124" spans="1:7" x14ac:dyDescent="0.35">
      <c r="A124" s="1">
        <v>45861</v>
      </c>
      <c r="B124">
        <v>170.06</v>
      </c>
      <c r="C124" s="12">
        <v>7.6435390000000004E-3</v>
      </c>
      <c r="D124" s="12">
        <v>0</v>
      </c>
      <c r="E124" s="13">
        <v>123</v>
      </c>
      <c r="F124" s="12">
        <f t="shared" ca="1" si="3"/>
        <v>-7.9581616875610568E-3</v>
      </c>
      <c r="G124" s="13"/>
    </row>
    <row r="125" spans="1:7" x14ac:dyDescent="0.35">
      <c r="A125" s="1">
        <v>45857</v>
      </c>
      <c r="B125">
        <v>168.77</v>
      </c>
      <c r="C125" s="12">
        <v>1.1749895E-2</v>
      </c>
      <c r="D125" s="12">
        <v>0</v>
      </c>
      <c r="E125" s="13">
        <v>124</v>
      </c>
      <c r="F125" s="12">
        <f t="shared" ca="1" si="3"/>
        <v>-5.6695937152753291E-3</v>
      </c>
      <c r="G125" s="13"/>
    </row>
    <row r="126" spans="1:7" x14ac:dyDescent="0.35">
      <c r="A126" s="1">
        <v>45838</v>
      </c>
      <c r="B126">
        <v>166.81</v>
      </c>
      <c r="C126" s="12">
        <v>5.2097129999999998E-2</v>
      </c>
      <c r="D126" s="12">
        <v>0</v>
      </c>
      <c r="E126" s="13">
        <v>125</v>
      </c>
      <c r="F126" s="12">
        <f t="shared" ca="1" si="3"/>
        <v>1.413411375221766E-2</v>
      </c>
      <c r="G126" s="13"/>
    </row>
    <row r="127" spans="1:7" x14ac:dyDescent="0.35">
      <c r="A127" s="1">
        <v>45829</v>
      </c>
      <c r="B127">
        <v>158.55000000000001</v>
      </c>
      <c r="C127" s="12">
        <v>-1.784055E-2</v>
      </c>
      <c r="D127" s="12">
        <v>0</v>
      </c>
      <c r="E127" s="13">
        <v>126</v>
      </c>
      <c r="F127" s="12">
        <f t="shared" ca="1" si="3"/>
        <v>-9.0568027382255493E-3</v>
      </c>
      <c r="G127" s="13"/>
    </row>
    <row r="128" spans="1:7" x14ac:dyDescent="0.35">
      <c r="A128" s="1">
        <v>45809</v>
      </c>
      <c r="B128">
        <v>161.43</v>
      </c>
      <c r="C128" s="12">
        <v>9.9474469999999999E-3</v>
      </c>
      <c r="D128" s="12">
        <v>0</v>
      </c>
      <c r="E128" s="13">
        <v>127</v>
      </c>
      <c r="F128" s="12">
        <f t="shared" ca="1" si="3"/>
        <v>2.8616765811418339E-3</v>
      </c>
      <c r="G128" s="13"/>
    </row>
    <row r="129" spans="1:7" x14ac:dyDescent="0.35">
      <c r="A129" s="1">
        <v>45798</v>
      </c>
      <c r="B129">
        <v>159.84</v>
      </c>
      <c r="C129" s="12">
        <v>-1.9627084999999999E-2</v>
      </c>
      <c r="D129" s="12">
        <v>0</v>
      </c>
      <c r="E129" s="13">
        <v>128</v>
      </c>
      <c r="F129" s="12">
        <f t="shared" ca="1" si="3"/>
        <v>2.151690270128161E-2</v>
      </c>
      <c r="G129" s="13"/>
    </row>
    <row r="130" spans="1:7" x14ac:dyDescent="0.35">
      <c r="A130" s="1">
        <v>45805</v>
      </c>
      <c r="B130">
        <v>163.04</v>
      </c>
      <c r="C130" s="12">
        <v>1.7854913E-2</v>
      </c>
      <c r="D130" s="12">
        <v>1.2268399999999999E-4</v>
      </c>
      <c r="E130" s="13">
        <v>129</v>
      </c>
      <c r="F130" s="12">
        <f t="shared" ca="1" si="3"/>
        <v>2.2426791742427152E-2</v>
      </c>
      <c r="G130" s="13"/>
    </row>
    <row r="131" spans="1:7" x14ac:dyDescent="0.35">
      <c r="A131" s="1">
        <v>45822</v>
      </c>
      <c r="B131">
        <v>160.18</v>
      </c>
      <c r="C131" s="12">
        <v>1.6564066999999998E-2</v>
      </c>
      <c r="D131" s="12">
        <v>1.2487500000000001E-4</v>
      </c>
      <c r="E131" s="13">
        <v>130</v>
      </c>
      <c r="F131" s="12">
        <f t="shared" ref="F131:F194" ca="1" si="4">_xlfn.NORM.INV(RAND(),$I$3,$I$4)</f>
        <v>-6.6077970190416054E-3</v>
      </c>
      <c r="G131" s="13"/>
    </row>
    <row r="132" spans="1:7" x14ac:dyDescent="0.35">
      <c r="A132" s="1">
        <v>45758</v>
      </c>
      <c r="B132">
        <v>157.57</v>
      </c>
      <c r="C132" s="12">
        <v>-5.0268218000000003E-2</v>
      </c>
      <c r="D132" s="12">
        <v>1.2694400000000001E-4</v>
      </c>
      <c r="E132" s="13">
        <v>131</v>
      </c>
      <c r="F132" s="12">
        <f t="shared" ca="1" si="4"/>
        <v>1.2648816364650459E-2</v>
      </c>
      <c r="G132" s="13"/>
    </row>
    <row r="133" spans="1:7" x14ac:dyDescent="0.35">
      <c r="A133" s="1">
        <v>45791</v>
      </c>
      <c r="B133">
        <v>165.91</v>
      </c>
      <c r="C133" s="12">
        <v>-0.118765603</v>
      </c>
      <c r="D133" s="12">
        <v>1.8085399999999999E-4</v>
      </c>
      <c r="E133" s="13">
        <v>132</v>
      </c>
      <c r="F133" s="12">
        <f t="shared" ca="1" si="4"/>
        <v>-7.1407513451641202E-3</v>
      </c>
      <c r="G133" s="13"/>
    </row>
    <row r="134" spans="1:7" x14ac:dyDescent="0.35">
      <c r="A134" s="1">
        <v>45937</v>
      </c>
      <c r="B134">
        <v>188.27</v>
      </c>
      <c r="C134" s="12">
        <v>0.17948878600000001</v>
      </c>
      <c r="D134" s="12">
        <v>3.18793E-4</v>
      </c>
      <c r="E134" s="13">
        <v>133</v>
      </c>
      <c r="F134" s="12">
        <f t="shared" ca="1" si="4"/>
        <v>2.2499055651880696E-2</v>
      </c>
      <c r="G134" s="13"/>
    </row>
    <row r="135" spans="1:7" x14ac:dyDescent="0.35">
      <c r="A135" s="1">
        <v>45816</v>
      </c>
      <c r="B135">
        <v>159.62</v>
      </c>
      <c r="C135" s="12">
        <v>-0.120454045</v>
      </c>
      <c r="D135" s="12">
        <v>3.7603400000000003E-4</v>
      </c>
      <c r="E135" s="13">
        <v>134</v>
      </c>
      <c r="F135" s="12">
        <f t="shared" ca="1" si="4"/>
        <v>2.9788543706127487E-2</v>
      </c>
      <c r="G135" s="13"/>
    </row>
    <row r="136" spans="1:7" x14ac:dyDescent="0.35">
      <c r="A136" s="1">
        <v>45888</v>
      </c>
      <c r="B136">
        <v>181.48</v>
      </c>
      <c r="C136" s="12">
        <v>0.32331923600000001</v>
      </c>
      <c r="D136" s="12">
        <v>6.0649499999999997E-4</v>
      </c>
      <c r="E136" s="13">
        <v>135</v>
      </c>
      <c r="F136" s="12">
        <f t="shared" ca="1" si="4"/>
        <v>2.784379329088027E-2</v>
      </c>
      <c r="G136" s="13"/>
    </row>
    <row r="137" spans="1:7" x14ac:dyDescent="0.35">
      <c r="A137" s="1">
        <v>45738</v>
      </c>
      <c r="B137">
        <v>137.13999999999999</v>
      </c>
      <c r="C137" s="12">
        <v>-0.12954617600000001</v>
      </c>
      <c r="D137" s="12">
        <v>1.2411480000000001E-3</v>
      </c>
      <c r="E137" s="13">
        <v>136</v>
      </c>
      <c r="F137" s="12">
        <f t="shared" ca="1" si="4"/>
        <v>3.1916211992419515E-4</v>
      </c>
      <c r="G137" s="13"/>
    </row>
    <row r="138" spans="1:7" x14ac:dyDescent="0.35">
      <c r="A138" s="1">
        <v>45757</v>
      </c>
      <c r="B138">
        <v>157.55000000000001</v>
      </c>
      <c r="C138" s="12">
        <v>-9.6824122999999998E-2</v>
      </c>
      <c r="D138" s="12">
        <v>1.2710519999999999E-3</v>
      </c>
      <c r="E138" s="13">
        <v>137</v>
      </c>
      <c r="F138" s="12">
        <f t="shared" ca="1" si="4"/>
        <v>-7.1102807299385645E-3</v>
      </c>
      <c r="G138" s="13"/>
    </row>
    <row r="139" spans="1:7" x14ac:dyDescent="0.35">
      <c r="A139" s="1">
        <v>45876</v>
      </c>
      <c r="B139">
        <v>174.44</v>
      </c>
      <c r="C139" s="12">
        <v>2.9569734E-2</v>
      </c>
      <c r="D139" s="12">
        <v>1.607717E-3</v>
      </c>
      <c r="E139" s="13">
        <v>138</v>
      </c>
      <c r="F139" s="12">
        <f t="shared" ca="1" si="4"/>
        <v>-6.6685130202057755E-3</v>
      </c>
      <c r="G139" s="13"/>
    </row>
    <row r="140" spans="1:7" x14ac:dyDescent="0.35">
      <c r="A140" s="1">
        <v>45842</v>
      </c>
      <c r="B140">
        <v>169.43</v>
      </c>
      <c r="C140" s="12">
        <v>0.25932808099999999</v>
      </c>
      <c r="D140" s="12">
        <v>1.6553360000000001E-3</v>
      </c>
      <c r="E140" s="13">
        <v>139</v>
      </c>
      <c r="F140" s="12">
        <f t="shared" ca="1" si="4"/>
        <v>7.050126973648917E-3</v>
      </c>
      <c r="G140" s="13"/>
    </row>
    <row r="141" spans="1:7" x14ac:dyDescent="0.35">
      <c r="A141" s="1">
        <v>45701</v>
      </c>
      <c r="B141">
        <v>134.54</v>
      </c>
      <c r="C141" s="12">
        <v>-0.15944021</v>
      </c>
      <c r="D141" s="12">
        <v>1.8616430000000001E-3</v>
      </c>
      <c r="E141" s="13">
        <v>140</v>
      </c>
      <c r="F141" s="12">
        <f t="shared" ca="1" si="4"/>
        <v>1.2725053599255097E-2</v>
      </c>
      <c r="G141" s="13"/>
    </row>
    <row r="142" spans="1:7" x14ac:dyDescent="0.35">
      <c r="A142" s="1">
        <v>45789</v>
      </c>
      <c r="B142">
        <v>160.06</v>
      </c>
      <c r="C142" s="12">
        <v>-5.3739284999999998E-2</v>
      </c>
      <c r="D142" s="12">
        <v>1.8778169999999999E-3</v>
      </c>
      <c r="E142" s="13">
        <v>141</v>
      </c>
      <c r="F142" s="12">
        <f t="shared" ca="1" si="4"/>
        <v>-1.0474584553819707E-3</v>
      </c>
      <c r="G142" s="13"/>
    </row>
    <row r="143" spans="1:7" x14ac:dyDescent="0.35">
      <c r="A143" s="1">
        <v>45841</v>
      </c>
      <c r="B143">
        <v>169.15</v>
      </c>
      <c r="C143" s="12">
        <v>1.2207528E-2</v>
      </c>
      <c r="D143" s="12">
        <v>1.9547449999999999E-3</v>
      </c>
      <c r="E143" s="13">
        <v>142</v>
      </c>
      <c r="F143" s="12">
        <f t="shared" ca="1" si="4"/>
        <v>1.8939929607166884E-2</v>
      </c>
      <c r="G143" s="13"/>
    </row>
    <row r="144" spans="1:7" x14ac:dyDescent="0.35">
      <c r="A144" s="1">
        <v>45907</v>
      </c>
      <c r="B144">
        <v>167.11</v>
      </c>
      <c r="C144" s="12">
        <v>-1.5726233999999999E-2</v>
      </c>
      <c r="D144" s="12">
        <v>2.0387360000000002E-3</v>
      </c>
      <c r="E144" s="13">
        <v>143</v>
      </c>
      <c r="F144" s="12">
        <f t="shared" ca="1" si="4"/>
        <v>-3.6021218967038442E-3</v>
      </c>
      <c r="G144" s="13"/>
    </row>
    <row r="145" spans="1:7" x14ac:dyDescent="0.35">
      <c r="A145" s="1">
        <v>45844</v>
      </c>
      <c r="B145">
        <v>169.78</v>
      </c>
      <c r="C145" s="12">
        <v>0.19968909000000001</v>
      </c>
      <c r="D145" s="12">
        <v>2.1840509999999998E-3</v>
      </c>
      <c r="E145" s="13">
        <v>144</v>
      </c>
      <c r="F145" s="12">
        <f t="shared" ca="1" si="4"/>
        <v>-1.1916838793653649E-2</v>
      </c>
      <c r="G145" s="13"/>
    </row>
    <row r="146" spans="1:7" x14ac:dyDescent="0.35">
      <c r="A146" s="1">
        <v>45742</v>
      </c>
      <c r="B146">
        <v>141.52000000000001</v>
      </c>
      <c r="C146" s="12">
        <v>-0.23995703500000001</v>
      </c>
      <c r="D146" s="12">
        <v>2.5502979999999999E-3</v>
      </c>
      <c r="E146" s="13">
        <v>145</v>
      </c>
      <c r="F146" s="12">
        <f t="shared" ca="1" si="4"/>
        <v>5.3511736695848033E-3</v>
      </c>
      <c r="G146" s="13"/>
    </row>
    <row r="147" spans="1:7" x14ac:dyDescent="0.35">
      <c r="A147" s="1">
        <v>45929</v>
      </c>
      <c r="B147">
        <v>186.2</v>
      </c>
      <c r="C147" s="12">
        <v>0.170774648</v>
      </c>
      <c r="D147" s="12">
        <v>2.5845360000000001E-3</v>
      </c>
      <c r="E147" s="13">
        <v>146</v>
      </c>
      <c r="F147" s="12">
        <f t="shared" ca="1" si="4"/>
        <v>-7.4360651738218098E-3</v>
      </c>
      <c r="G147" s="13"/>
    </row>
    <row r="148" spans="1:7" x14ac:dyDescent="0.35">
      <c r="A148" s="1">
        <v>45721</v>
      </c>
      <c r="B148">
        <v>159.04</v>
      </c>
      <c r="C148" s="12">
        <v>-7.5026172000000002E-2</v>
      </c>
      <c r="D148" s="12">
        <v>2.7742750000000001E-3</v>
      </c>
      <c r="E148" s="13">
        <v>147</v>
      </c>
      <c r="F148" s="12">
        <f t="shared" ca="1" si="4"/>
        <v>3.0155902787461072E-3</v>
      </c>
      <c r="G148" s="13"/>
    </row>
    <row r="149" spans="1:7" x14ac:dyDescent="0.35">
      <c r="A149" s="1">
        <v>45863</v>
      </c>
      <c r="B149">
        <v>171.94</v>
      </c>
      <c r="C149" s="12">
        <v>9.3929789999999992E-3</v>
      </c>
      <c r="D149" s="12">
        <v>2.9749749999999999E-3</v>
      </c>
      <c r="E149" s="13">
        <v>148</v>
      </c>
      <c r="F149" s="12">
        <f t="shared" ca="1" si="4"/>
        <v>3.9993913659790527E-2</v>
      </c>
      <c r="G149" s="13"/>
    </row>
    <row r="150" spans="1:7" x14ac:dyDescent="0.35">
      <c r="A150" s="1">
        <v>45915</v>
      </c>
      <c r="B150">
        <v>170.34</v>
      </c>
      <c r="C150" s="12">
        <v>0.117496556</v>
      </c>
      <c r="D150" s="12">
        <v>3.0030030000000002E-3</v>
      </c>
      <c r="E150" s="13">
        <v>149</v>
      </c>
      <c r="F150" s="12">
        <f t="shared" ca="1" si="4"/>
        <v>7.9449442953164048E-5</v>
      </c>
      <c r="G150" s="13"/>
    </row>
    <row r="151" spans="1:7" x14ac:dyDescent="0.35">
      <c r="A151" s="1">
        <v>45783</v>
      </c>
      <c r="B151">
        <v>152.43</v>
      </c>
      <c r="C151" s="12">
        <v>-9.9219950000000001E-2</v>
      </c>
      <c r="D151" s="12">
        <v>3.026913E-3</v>
      </c>
      <c r="E151" s="13">
        <v>150</v>
      </c>
      <c r="F151" s="12">
        <f t="shared" ca="1" si="4"/>
        <v>2.0416938421221803E-2</v>
      </c>
      <c r="G151" s="13"/>
    </row>
    <row r="152" spans="1:7" x14ac:dyDescent="0.35">
      <c r="A152" s="1">
        <v>45918</v>
      </c>
      <c r="B152">
        <v>169.22</v>
      </c>
      <c r="C152" s="12">
        <v>3.141858E-3</v>
      </c>
      <c r="D152" s="12">
        <v>3.141858E-3</v>
      </c>
      <c r="E152" s="13">
        <v>151</v>
      </c>
      <c r="F152" s="12">
        <f t="shared" ca="1" si="4"/>
        <v>-2.5950348927445484E-3</v>
      </c>
      <c r="G152" s="13"/>
    </row>
    <row r="153" spans="1:7" x14ac:dyDescent="0.35">
      <c r="A153" s="1">
        <v>45917</v>
      </c>
      <c r="B153">
        <v>168.69</v>
      </c>
      <c r="C153" s="12">
        <v>6.4155941999999994E-2</v>
      </c>
      <c r="D153" s="12">
        <v>3.3904349999999998E-3</v>
      </c>
      <c r="E153" s="13">
        <v>152</v>
      </c>
      <c r="F153" s="12">
        <f t="shared" ca="1" si="4"/>
        <v>-1.1451974739218688E-2</v>
      </c>
      <c r="G153" s="13"/>
    </row>
    <row r="154" spans="1:7" x14ac:dyDescent="0.35">
      <c r="A154" s="1">
        <v>45820</v>
      </c>
      <c r="B154">
        <v>158.52000000000001</v>
      </c>
      <c r="C154" s="12">
        <v>-1.1967090999999999E-2</v>
      </c>
      <c r="D154" s="12">
        <v>3.6087369999999999E-3</v>
      </c>
      <c r="E154" s="13">
        <v>153</v>
      </c>
      <c r="F154" s="12">
        <f t="shared" ca="1" si="4"/>
        <v>3.8897872916364459E-3</v>
      </c>
      <c r="G154" s="13"/>
    </row>
    <row r="155" spans="1:7" x14ac:dyDescent="0.35">
      <c r="A155" s="1">
        <v>45799</v>
      </c>
      <c r="B155">
        <v>160.44</v>
      </c>
      <c r="C155" s="12">
        <v>6.3361611999999998E-2</v>
      </c>
      <c r="D155" s="12">
        <v>3.7537540000000002E-3</v>
      </c>
      <c r="E155" s="13">
        <v>154</v>
      </c>
      <c r="F155" s="12">
        <f t="shared" ca="1" si="4"/>
        <v>1.6719876959711801E-2</v>
      </c>
      <c r="G155" s="13"/>
    </row>
    <row r="156" spans="1:7" x14ac:dyDescent="0.35">
      <c r="A156" s="1">
        <v>45717</v>
      </c>
      <c r="B156">
        <v>150.88</v>
      </c>
      <c r="C156" s="12">
        <v>-0.122943673</v>
      </c>
      <c r="D156" s="12">
        <v>3.858949E-3</v>
      </c>
      <c r="E156" s="13">
        <v>155</v>
      </c>
      <c r="F156" s="12">
        <f t="shared" ca="1" si="4"/>
        <v>8.0505193665249847E-3</v>
      </c>
      <c r="G156" s="13"/>
    </row>
    <row r="157" spans="1:7" x14ac:dyDescent="0.35">
      <c r="A157" s="1">
        <v>45848</v>
      </c>
      <c r="B157">
        <v>172.03</v>
      </c>
      <c r="C157" s="12">
        <v>2.0162486E-2</v>
      </c>
      <c r="D157" s="12">
        <v>3.9098969999999999E-3</v>
      </c>
      <c r="E157" s="13">
        <v>156</v>
      </c>
      <c r="F157" s="12">
        <f t="shared" ca="1" si="4"/>
        <v>-6.105019397800563E-3</v>
      </c>
      <c r="G157" s="13"/>
    </row>
    <row r="158" spans="1:7" x14ac:dyDescent="0.35">
      <c r="A158" s="1">
        <v>45903</v>
      </c>
      <c r="B158">
        <v>168.63</v>
      </c>
      <c r="C158" s="12">
        <v>3.4412955000000002E-2</v>
      </c>
      <c r="D158" s="12">
        <v>3.9890450000000001E-3</v>
      </c>
      <c r="E158" s="13">
        <v>157</v>
      </c>
      <c r="F158" s="12">
        <f t="shared" ca="1" si="4"/>
        <v>-1.8331492068473319E-3</v>
      </c>
      <c r="G158" s="13"/>
    </row>
    <row r="159" spans="1:7" x14ac:dyDescent="0.35">
      <c r="A159" s="1">
        <v>45804</v>
      </c>
      <c r="B159">
        <v>163.02000000000001</v>
      </c>
      <c r="C159" s="12">
        <v>0.190187632</v>
      </c>
      <c r="D159" s="12">
        <v>4.0032030000000003E-3</v>
      </c>
      <c r="E159" s="13">
        <v>158</v>
      </c>
      <c r="F159" s="12">
        <f t="shared" ca="1" si="4"/>
        <v>2.985820387925503E-2</v>
      </c>
      <c r="G159" s="13"/>
    </row>
    <row r="160" spans="1:7" x14ac:dyDescent="0.35">
      <c r="A160" s="1">
        <v>45737</v>
      </c>
      <c r="B160">
        <v>136.97</v>
      </c>
      <c r="C160" s="12">
        <v>-0.16216050900000001</v>
      </c>
      <c r="D160" s="12">
        <v>4.1052709999999997E-3</v>
      </c>
      <c r="E160" s="13">
        <v>159</v>
      </c>
      <c r="F160" s="12">
        <f t="shared" ca="1" si="4"/>
        <v>1.2470928799711508E-2</v>
      </c>
      <c r="G160" s="13"/>
    </row>
    <row r="161" spans="1:7" x14ac:dyDescent="0.35">
      <c r="A161" s="1">
        <v>45807</v>
      </c>
      <c r="B161">
        <v>163.47999999999999</v>
      </c>
      <c r="C161" s="12">
        <v>-6.0459770000000003E-2</v>
      </c>
      <c r="D161" s="12">
        <v>4.3619829999999998E-3</v>
      </c>
      <c r="E161" s="13">
        <v>160</v>
      </c>
      <c r="F161" s="12">
        <f t="shared" ca="1" si="4"/>
        <v>-1.0816553421331022E-2</v>
      </c>
      <c r="G161" s="13"/>
    </row>
    <row r="162" spans="1:7" x14ac:dyDescent="0.35">
      <c r="A162" s="1">
        <v>45870</v>
      </c>
      <c r="B162">
        <v>174</v>
      </c>
      <c r="C162" s="12">
        <v>4.5609379999999996E-3</v>
      </c>
      <c r="D162" s="12">
        <v>4.3869779999999997E-3</v>
      </c>
      <c r="E162" s="13">
        <v>161</v>
      </c>
      <c r="F162" s="12">
        <f t="shared" ca="1" si="4"/>
        <v>-1.2837173658498046E-2</v>
      </c>
      <c r="G162" s="13"/>
    </row>
    <row r="163" spans="1:7" x14ac:dyDescent="0.35">
      <c r="A163" s="1">
        <v>45895</v>
      </c>
      <c r="B163">
        <v>173.21</v>
      </c>
      <c r="C163" s="12">
        <v>-6.0734233999999998E-2</v>
      </c>
      <c r="D163" s="12">
        <v>4.4070749999999999E-3</v>
      </c>
      <c r="E163" s="13">
        <v>162</v>
      </c>
      <c r="F163" s="12">
        <f t="shared" ca="1" si="4"/>
        <v>3.8992171308734379E-3</v>
      </c>
      <c r="G163" s="13"/>
    </row>
    <row r="164" spans="1:7" x14ac:dyDescent="0.35">
      <c r="A164" s="1">
        <v>45939</v>
      </c>
      <c r="B164">
        <v>184.41</v>
      </c>
      <c r="C164" s="12">
        <v>0.17901668700000001</v>
      </c>
      <c r="D164" s="12">
        <v>4.6306380000000003E-3</v>
      </c>
      <c r="E164" s="13">
        <v>163</v>
      </c>
      <c r="F164" s="12">
        <f t="shared" ca="1" si="4"/>
        <v>9.8932092901172341E-3</v>
      </c>
      <c r="G164" s="13"/>
    </row>
    <row r="165" spans="1:7" x14ac:dyDescent="0.35">
      <c r="A165" s="1">
        <v>45775</v>
      </c>
      <c r="B165">
        <v>156.41</v>
      </c>
      <c r="C165" s="12">
        <v>-9.4744761999999996E-2</v>
      </c>
      <c r="D165" s="12">
        <v>4.6891060000000002E-3</v>
      </c>
      <c r="E165" s="13">
        <v>164</v>
      </c>
      <c r="F165" s="12">
        <f t="shared" ca="1" si="4"/>
        <v>-2.8836165717797135E-2</v>
      </c>
      <c r="G165" s="13"/>
    </row>
    <row r="166" spans="1:7" x14ac:dyDescent="0.35">
      <c r="A166" s="1">
        <v>45874</v>
      </c>
      <c r="B166">
        <v>172.78</v>
      </c>
      <c r="C166" s="12">
        <v>3.0415075999999999E-2</v>
      </c>
      <c r="D166" s="12">
        <v>4.8269849999999998E-3</v>
      </c>
      <c r="E166" s="13">
        <v>165</v>
      </c>
      <c r="F166" s="12">
        <f t="shared" ca="1" si="4"/>
        <v>3.1251375148444109E-2</v>
      </c>
      <c r="G166" s="13"/>
    </row>
    <row r="167" spans="1:7" x14ac:dyDescent="0.35">
      <c r="A167" s="1">
        <v>45839</v>
      </c>
      <c r="B167">
        <v>167.68</v>
      </c>
      <c r="C167" s="12">
        <v>6.0058161999999998E-2</v>
      </c>
      <c r="D167" s="12">
        <v>5.2155150000000004E-3</v>
      </c>
      <c r="E167" s="13">
        <v>166</v>
      </c>
      <c r="F167" s="12">
        <f t="shared" ca="1" si="4"/>
        <v>-6.0427218557838318E-3</v>
      </c>
      <c r="G167" s="13"/>
    </row>
    <row r="168" spans="1:7" x14ac:dyDescent="0.35">
      <c r="A168" s="1">
        <v>45770</v>
      </c>
      <c r="B168">
        <v>158.18</v>
      </c>
      <c r="C168" s="12">
        <v>-0.135061242</v>
      </c>
      <c r="D168" s="12">
        <v>5.2748650000000001E-3</v>
      </c>
      <c r="E168" s="13">
        <v>167</v>
      </c>
      <c r="F168" s="12">
        <f t="shared" ca="1" si="4"/>
        <v>1.5913988658490007E-3</v>
      </c>
      <c r="G168" s="13"/>
    </row>
    <row r="169" spans="1:7" x14ac:dyDescent="0.35">
      <c r="A169" s="1">
        <v>45927</v>
      </c>
      <c r="B169">
        <v>182.88</v>
      </c>
      <c r="C169" s="12">
        <v>0.18384256900000001</v>
      </c>
      <c r="D169" s="12">
        <v>5.4428499999999999E-3</v>
      </c>
      <c r="E169" s="13">
        <v>168</v>
      </c>
      <c r="F169" s="12">
        <f t="shared" ca="1" si="4"/>
        <v>1.7934289972419571E-3</v>
      </c>
      <c r="G169" s="13"/>
    </row>
    <row r="170" spans="1:7" x14ac:dyDescent="0.35">
      <c r="A170" s="1">
        <v>45833</v>
      </c>
      <c r="B170">
        <v>154.47999999999999</v>
      </c>
      <c r="C170" s="12">
        <v>0.108655088</v>
      </c>
      <c r="D170" s="12">
        <v>5.5327739999999999E-3</v>
      </c>
      <c r="E170" s="13">
        <v>169</v>
      </c>
      <c r="F170" s="12">
        <f t="shared" ca="1" si="4"/>
        <v>4.1674334171837746E-2</v>
      </c>
      <c r="G170" s="13"/>
    </row>
    <row r="171" spans="1:7" x14ac:dyDescent="0.35">
      <c r="A171" s="1">
        <v>45710</v>
      </c>
      <c r="B171">
        <v>139.34</v>
      </c>
      <c r="C171" s="12">
        <v>-0.13694642300000001</v>
      </c>
      <c r="D171" s="12">
        <v>5.5567580000000002E-3</v>
      </c>
      <c r="E171" s="13">
        <v>170</v>
      </c>
      <c r="F171" s="12">
        <f t="shared" ca="1" si="4"/>
        <v>-2.116025132869283E-3</v>
      </c>
      <c r="G171" s="13"/>
    </row>
    <row r="172" spans="1:7" x14ac:dyDescent="0.35">
      <c r="A172" s="1">
        <v>45787</v>
      </c>
      <c r="B172">
        <v>161.44999999999999</v>
      </c>
      <c r="C172" s="12">
        <v>-6.6061201999999999E-2</v>
      </c>
      <c r="D172" s="12">
        <v>5.6683690000000004E-3</v>
      </c>
      <c r="E172" s="13">
        <v>171</v>
      </c>
      <c r="F172" s="12">
        <f t="shared" ca="1" si="4"/>
        <v>1.2965388913136961E-2</v>
      </c>
      <c r="G172" s="13"/>
    </row>
    <row r="173" spans="1:7" x14ac:dyDescent="0.35">
      <c r="A173" s="1">
        <v>45913</v>
      </c>
      <c r="B173">
        <v>172.87</v>
      </c>
      <c r="C173" s="12">
        <v>3.9319424999999998E-2</v>
      </c>
      <c r="D173" s="12">
        <v>5.7013209999999996E-3</v>
      </c>
      <c r="E173" s="13">
        <v>172</v>
      </c>
      <c r="F173" s="12">
        <f t="shared" ca="1" si="4"/>
        <v>5.6298980167462861E-3</v>
      </c>
      <c r="G173" s="13"/>
    </row>
    <row r="174" spans="1:7" x14ac:dyDescent="0.35">
      <c r="A174" s="1">
        <v>45899</v>
      </c>
      <c r="B174">
        <v>166.33</v>
      </c>
      <c r="C174" s="12">
        <v>9.5645873000000006E-2</v>
      </c>
      <c r="D174" s="12">
        <v>5.8659890000000003E-3</v>
      </c>
      <c r="E174" s="13">
        <v>173</v>
      </c>
      <c r="F174" s="12">
        <f t="shared" ca="1" si="4"/>
        <v>1.1923686672286184E-2</v>
      </c>
      <c r="G174" s="13"/>
    </row>
    <row r="175" spans="1:7" x14ac:dyDescent="0.35">
      <c r="A175" s="1">
        <v>45718</v>
      </c>
      <c r="B175">
        <v>151.81</v>
      </c>
      <c r="C175" s="12">
        <v>0.16525944100000001</v>
      </c>
      <c r="D175" s="12">
        <v>6.1638389999999999E-3</v>
      </c>
      <c r="E175" s="13">
        <v>174</v>
      </c>
      <c r="F175" s="12">
        <f t="shared" ca="1" si="4"/>
        <v>-1.4506761174561844E-2</v>
      </c>
      <c r="G175" s="13"/>
    </row>
    <row r="176" spans="1:7" x14ac:dyDescent="0.35">
      <c r="A176" s="1">
        <v>45733</v>
      </c>
      <c r="B176">
        <v>130.28</v>
      </c>
      <c r="C176" s="12">
        <v>-0.18406713799999999</v>
      </c>
      <c r="D176" s="12">
        <v>6.1785599999999996E-3</v>
      </c>
      <c r="E176" s="13">
        <v>175</v>
      </c>
      <c r="F176" s="12">
        <f t="shared" ca="1" si="4"/>
        <v>2.4967669823124143E-2</v>
      </c>
      <c r="G176" s="13"/>
    </row>
    <row r="177" spans="1:7" x14ac:dyDescent="0.35">
      <c r="A177" s="1">
        <v>45818</v>
      </c>
      <c r="B177">
        <v>159.66999999999999</v>
      </c>
      <c r="C177" s="12">
        <v>0.123803491</v>
      </c>
      <c r="D177" s="12">
        <v>6.365814E-3</v>
      </c>
      <c r="E177" s="13">
        <v>176</v>
      </c>
      <c r="F177" s="12">
        <f t="shared" ca="1" si="4"/>
        <v>-1.0415969254322697E-2</v>
      </c>
      <c r="G177" s="13"/>
    </row>
    <row r="178" spans="1:7" x14ac:dyDescent="0.35">
      <c r="A178" s="1">
        <v>45748</v>
      </c>
      <c r="B178">
        <v>142.08000000000001</v>
      </c>
      <c r="C178" s="12">
        <v>-6.5078633999999996E-2</v>
      </c>
      <c r="D178" s="12">
        <v>6.374841E-3</v>
      </c>
      <c r="E178" s="13">
        <v>177</v>
      </c>
      <c r="F178" s="12">
        <f t="shared" ca="1" si="4"/>
        <v>1.0605854906904575E-2</v>
      </c>
      <c r="G178" s="13"/>
    </row>
    <row r="179" spans="1:7" x14ac:dyDescent="0.35">
      <c r="A179" s="1">
        <v>45782</v>
      </c>
      <c r="B179">
        <v>151.97</v>
      </c>
      <c r="C179" s="12">
        <v>-9.9810448999999996E-2</v>
      </c>
      <c r="D179" s="12">
        <v>6.4238409999999996E-3</v>
      </c>
      <c r="E179" s="13">
        <v>178</v>
      </c>
      <c r="F179" s="12">
        <f t="shared" ca="1" si="4"/>
        <v>-1.4326768179888354E-2</v>
      </c>
      <c r="G179" s="13"/>
    </row>
    <row r="180" spans="1:7" x14ac:dyDescent="0.35">
      <c r="A180" s="1">
        <v>45840</v>
      </c>
      <c r="B180">
        <v>168.82</v>
      </c>
      <c r="C180" s="12">
        <v>5.7570631999999997E-2</v>
      </c>
      <c r="D180" s="12">
        <v>6.7986640000000003E-3</v>
      </c>
      <c r="E180" s="13">
        <v>179</v>
      </c>
      <c r="F180" s="12">
        <f t="shared" ca="1" si="4"/>
        <v>5.6099651114389706E-3</v>
      </c>
      <c r="G180" s="13"/>
    </row>
    <row r="181" spans="1:7" x14ac:dyDescent="0.35">
      <c r="A181" s="1">
        <v>45830</v>
      </c>
      <c r="B181">
        <v>159.63</v>
      </c>
      <c r="C181" s="12">
        <v>5.9234989999999996E-3</v>
      </c>
      <c r="D181" s="12">
        <v>6.8117309999999997E-3</v>
      </c>
      <c r="E181" s="13">
        <v>180</v>
      </c>
      <c r="F181" s="12">
        <f t="shared" ca="1" si="4"/>
        <v>2.1508742123255583E-3</v>
      </c>
      <c r="G181" s="13"/>
    </row>
    <row r="182" spans="1:7" x14ac:dyDescent="0.35">
      <c r="A182" s="1">
        <v>45759</v>
      </c>
      <c r="B182">
        <v>158.69</v>
      </c>
      <c r="C182" s="12">
        <v>1.70433E-3</v>
      </c>
      <c r="D182" s="12">
        <v>7.1079519999999998E-3</v>
      </c>
      <c r="E182" s="13">
        <v>181</v>
      </c>
      <c r="F182" s="12">
        <f t="shared" ca="1" si="4"/>
        <v>-1.2869399677742494E-2</v>
      </c>
      <c r="G182" s="13"/>
    </row>
    <row r="183" spans="1:7" x14ac:dyDescent="0.35">
      <c r="A183" s="1">
        <v>45723</v>
      </c>
      <c r="B183">
        <v>158.41999999999999</v>
      </c>
      <c r="C183" s="12">
        <v>0.178720238</v>
      </c>
      <c r="D183" s="12">
        <v>7.2482199999999997E-3</v>
      </c>
      <c r="E183" s="13">
        <v>182</v>
      </c>
      <c r="F183" s="12">
        <f t="shared" ca="1" si="4"/>
        <v>2.6848804588697289E-2</v>
      </c>
      <c r="G183" s="13"/>
    </row>
    <row r="184" spans="1:7" x14ac:dyDescent="0.35">
      <c r="A184" s="1">
        <v>45692</v>
      </c>
      <c r="B184">
        <v>134.4</v>
      </c>
      <c r="C184" s="12">
        <v>-0.113222486</v>
      </c>
      <c r="D184" s="12">
        <v>7.3452259999999998E-3</v>
      </c>
      <c r="E184" s="13">
        <v>183</v>
      </c>
      <c r="F184" s="12">
        <f t="shared" ca="1" si="4"/>
        <v>4.8825449471734134E-3</v>
      </c>
      <c r="G184" s="13"/>
    </row>
    <row r="185" spans="1:7" x14ac:dyDescent="0.35">
      <c r="A185" s="1">
        <v>45713</v>
      </c>
      <c r="B185">
        <v>151.56</v>
      </c>
      <c r="C185" s="12">
        <v>7.3523162000000003E-2</v>
      </c>
      <c r="D185" s="12">
        <v>7.444829E-3</v>
      </c>
      <c r="E185" s="13">
        <v>184</v>
      </c>
      <c r="F185" s="12">
        <f t="shared" ca="1" si="4"/>
        <v>-1.9895859598190381E-2</v>
      </c>
      <c r="G185" s="13"/>
    </row>
    <row r="186" spans="1:7" x14ac:dyDescent="0.35">
      <c r="A186" s="1">
        <v>45747</v>
      </c>
      <c r="B186">
        <v>141.18</v>
      </c>
      <c r="C186" s="12">
        <v>-0.18936610000000001</v>
      </c>
      <c r="D186" s="12">
        <v>7.8526559999999995E-3</v>
      </c>
      <c r="E186" s="13">
        <v>185</v>
      </c>
      <c r="F186" s="12">
        <f t="shared" ca="1" si="4"/>
        <v>2.4707000610735996E-2</v>
      </c>
      <c r="G186" s="13"/>
    </row>
    <row r="187" spans="1:7" x14ac:dyDescent="0.35">
      <c r="A187" s="1">
        <v>45875</v>
      </c>
      <c r="B187">
        <v>174.16</v>
      </c>
      <c r="C187" s="12">
        <v>9.3763737999999999E-2</v>
      </c>
      <c r="D187" s="12">
        <v>7.9870359999999994E-3</v>
      </c>
      <c r="E187" s="13">
        <v>186</v>
      </c>
      <c r="F187" s="12">
        <f t="shared" ca="1" si="4"/>
        <v>4.7823239140637646E-3</v>
      </c>
      <c r="G187" s="13"/>
    </row>
    <row r="188" spans="1:7" x14ac:dyDescent="0.35">
      <c r="A188" s="1">
        <v>45825</v>
      </c>
      <c r="B188">
        <v>159.22999999999999</v>
      </c>
      <c r="C188" s="12">
        <v>-7.1166073999999996E-2</v>
      </c>
      <c r="D188" s="12">
        <v>8.0400100000000002E-3</v>
      </c>
      <c r="E188" s="13">
        <v>187</v>
      </c>
      <c r="F188" s="12">
        <f t="shared" ca="1" si="4"/>
        <v>-1.3325788744039165E-2</v>
      </c>
      <c r="G188" s="13"/>
    </row>
    <row r="189" spans="1:7" x14ac:dyDescent="0.35">
      <c r="A189" s="1">
        <v>45862</v>
      </c>
      <c r="B189">
        <v>171.43</v>
      </c>
      <c r="C189" s="12">
        <v>-0.115656435</v>
      </c>
      <c r="D189" s="12">
        <v>8.0559800000000008E-3</v>
      </c>
      <c r="E189" s="13">
        <v>188</v>
      </c>
      <c r="F189" s="12">
        <f t="shared" ca="1" si="4"/>
        <v>-1.1234227393465584E-2</v>
      </c>
      <c r="G189" s="13"/>
    </row>
    <row r="190" spans="1:7" x14ac:dyDescent="0.35">
      <c r="A190" s="1">
        <v>45943</v>
      </c>
      <c r="B190">
        <v>193.85</v>
      </c>
      <c r="C190" s="12">
        <v>0.427887448</v>
      </c>
      <c r="D190" s="12">
        <v>8.1651759999999997E-3</v>
      </c>
      <c r="E190" s="13">
        <v>189</v>
      </c>
      <c r="F190" s="12">
        <f t="shared" ca="1" si="4"/>
        <v>1.6144448096519614E-2</v>
      </c>
      <c r="G190" s="13"/>
    </row>
    <row r="191" spans="1:7" x14ac:dyDescent="0.35">
      <c r="A191" s="1">
        <v>45702</v>
      </c>
      <c r="B191">
        <v>135.76</v>
      </c>
      <c r="C191" s="12">
        <v>-0.19659131299999999</v>
      </c>
      <c r="D191" s="12">
        <v>9.0679349999999992E-3</v>
      </c>
      <c r="E191" s="13">
        <v>190</v>
      </c>
      <c r="F191" s="12">
        <f t="shared" ca="1" si="4"/>
        <v>-7.5964314076584997E-3</v>
      </c>
      <c r="G191" s="13"/>
    </row>
    <row r="192" spans="1:7" x14ac:dyDescent="0.35">
      <c r="A192" s="1">
        <v>45855</v>
      </c>
      <c r="B192">
        <v>168.98</v>
      </c>
      <c r="C192" s="12">
        <v>4.1607593999999998E-2</v>
      </c>
      <c r="D192" s="12">
        <v>9.4384710000000004E-3</v>
      </c>
      <c r="E192" s="13">
        <v>191</v>
      </c>
      <c r="F192" s="12">
        <f t="shared" ca="1" si="4"/>
        <v>2.5524855826783668E-2</v>
      </c>
      <c r="G192" s="13"/>
    </row>
    <row r="193" spans="1:7" x14ac:dyDescent="0.35">
      <c r="A193" s="1">
        <v>45910</v>
      </c>
      <c r="B193">
        <v>162.22999999999999</v>
      </c>
      <c r="C193" s="12">
        <v>-5.0731421999999998E-2</v>
      </c>
      <c r="D193" s="12">
        <v>9.7093419999999993E-3</v>
      </c>
      <c r="E193" s="13">
        <v>192</v>
      </c>
      <c r="F193" s="12">
        <f t="shared" ca="1" si="4"/>
        <v>-2.9768594996667E-4</v>
      </c>
      <c r="G193" s="13"/>
    </row>
    <row r="194" spans="1:7" x14ac:dyDescent="0.35">
      <c r="A194" s="1">
        <v>45919</v>
      </c>
      <c r="B194">
        <v>170.9</v>
      </c>
      <c r="C194" s="12">
        <v>0.23331168399999999</v>
      </c>
      <c r="D194" s="12">
        <v>9.9279050000000008E-3</v>
      </c>
      <c r="E194" s="13">
        <v>193</v>
      </c>
      <c r="F194" s="12">
        <f t="shared" ca="1" si="4"/>
        <v>-2.4861756782812435E-2</v>
      </c>
      <c r="G194" s="13"/>
    </row>
    <row r="195" spans="1:7" x14ac:dyDescent="0.35">
      <c r="A195" s="1">
        <v>45709</v>
      </c>
      <c r="B195">
        <v>138.57</v>
      </c>
      <c r="C195" s="12">
        <v>-0.238165924</v>
      </c>
      <c r="D195" s="12">
        <v>9.9854230000000002E-3</v>
      </c>
      <c r="E195" s="13">
        <v>194</v>
      </c>
      <c r="F195" s="12">
        <f t="shared" ref="F195:F258" ca="1" si="5">_xlfn.NORM.INV(RAND(),$I$3,$I$4)</f>
        <v>-4.6543696218149504E-3</v>
      </c>
      <c r="G195" s="13"/>
    </row>
    <row r="196" spans="1:7" x14ac:dyDescent="0.35">
      <c r="A196" s="1">
        <v>45926</v>
      </c>
      <c r="B196">
        <v>181.89</v>
      </c>
      <c r="C196" s="12">
        <v>0.17583554200000001</v>
      </c>
      <c r="D196" s="12">
        <v>1.0051088E-2</v>
      </c>
      <c r="E196" s="13">
        <v>195</v>
      </c>
      <c r="F196" s="12">
        <f t="shared" ca="1" si="5"/>
        <v>9.3909186879411501E-3</v>
      </c>
      <c r="G196" s="13"/>
    </row>
    <row r="197" spans="1:7" x14ac:dyDescent="0.35">
      <c r="A197" s="1">
        <v>45729</v>
      </c>
      <c r="B197">
        <v>154.69</v>
      </c>
      <c r="C197" s="12">
        <v>-1.087026E-2</v>
      </c>
      <c r="D197" s="12">
        <v>1.0253396E-2</v>
      </c>
      <c r="E197" s="13">
        <v>196</v>
      </c>
      <c r="F197" s="12">
        <f t="shared" ca="1" si="5"/>
        <v>9.6263677413773036E-3</v>
      </c>
      <c r="G197" s="13"/>
    </row>
    <row r="198" spans="1:7" x14ac:dyDescent="0.35">
      <c r="A198" s="1">
        <v>45785</v>
      </c>
      <c r="B198">
        <v>156.38999999999999</v>
      </c>
      <c r="C198" s="12">
        <v>-2.3538961000000001E-2</v>
      </c>
      <c r="D198" s="12">
        <v>1.0336585000000001E-2</v>
      </c>
      <c r="E198" s="13">
        <v>197</v>
      </c>
      <c r="F198" s="12">
        <f t="shared" ca="1" si="5"/>
        <v>2.6219590875222621E-2</v>
      </c>
      <c r="G198" s="13"/>
    </row>
    <row r="199" spans="1:7" x14ac:dyDescent="0.35">
      <c r="A199" s="1">
        <v>45821</v>
      </c>
      <c r="B199">
        <v>160.16</v>
      </c>
      <c r="C199" s="12">
        <v>-1.7242436999999999E-2</v>
      </c>
      <c r="D199" s="12">
        <v>1.0345698E-2</v>
      </c>
      <c r="E199" s="13">
        <v>198</v>
      </c>
      <c r="F199" s="12">
        <f t="shared" ca="1" si="5"/>
        <v>-7.9069947369431338E-3</v>
      </c>
      <c r="G199" s="13"/>
    </row>
    <row r="200" spans="1:7" x14ac:dyDescent="0.35">
      <c r="A200" s="1">
        <v>45762</v>
      </c>
      <c r="B200">
        <v>162.97</v>
      </c>
      <c r="C200" s="12">
        <v>1.4378190000000001E-2</v>
      </c>
      <c r="D200" s="12">
        <v>1.0416020999999999E-2</v>
      </c>
      <c r="E200" s="13">
        <v>199</v>
      </c>
      <c r="F200" s="12">
        <f t="shared" ca="1" si="5"/>
        <v>2.2083247130040867E-2</v>
      </c>
      <c r="G200" s="13"/>
    </row>
    <row r="201" spans="1:7" x14ac:dyDescent="0.35">
      <c r="A201" s="1">
        <v>45796</v>
      </c>
      <c r="B201">
        <v>160.66</v>
      </c>
      <c r="C201" s="12">
        <v>0.10041095899999999</v>
      </c>
      <c r="D201" s="12">
        <v>1.0440252000000001E-2</v>
      </c>
      <c r="E201" s="13">
        <v>200</v>
      </c>
      <c r="F201" s="12">
        <f t="shared" ca="1" si="5"/>
        <v>7.3769335473090787E-3</v>
      </c>
      <c r="G201" s="13"/>
    </row>
    <row r="202" spans="1:7" x14ac:dyDescent="0.35">
      <c r="A202" s="1">
        <v>45750</v>
      </c>
      <c r="B202">
        <v>146</v>
      </c>
      <c r="C202" s="12">
        <v>-6.5121341999999999E-2</v>
      </c>
      <c r="D202" s="12">
        <v>1.0800331999999999E-2</v>
      </c>
      <c r="E202" s="13">
        <v>201</v>
      </c>
      <c r="F202" s="12">
        <f t="shared" ca="1" si="5"/>
        <v>-5.6582939324287592E-3</v>
      </c>
      <c r="G202" s="13"/>
    </row>
    <row r="203" spans="1:7" x14ac:dyDescent="0.35">
      <c r="A203" s="1">
        <v>45834</v>
      </c>
      <c r="B203">
        <v>156.16999999999999</v>
      </c>
      <c r="C203" s="12">
        <v>-9.8793929000000003E-2</v>
      </c>
      <c r="D203" s="12">
        <v>1.0939927E-2</v>
      </c>
      <c r="E203" s="13">
        <v>202</v>
      </c>
      <c r="F203" s="12">
        <f t="shared" ca="1" si="5"/>
        <v>-4.1816767645857102E-2</v>
      </c>
      <c r="G203" s="13"/>
    </row>
    <row r="204" spans="1:7" x14ac:dyDescent="0.35">
      <c r="A204" s="1">
        <v>45851</v>
      </c>
      <c r="B204">
        <v>173.29</v>
      </c>
      <c r="C204" s="12">
        <v>6.2346738999999998E-2</v>
      </c>
      <c r="D204" s="12">
        <v>1.1085828000000001E-2</v>
      </c>
      <c r="E204" s="13">
        <v>203</v>
      </c>
      <c r="F204" s="12">
        <f t="shared" ca="1" si="5"/>
        <v>-5.1086478004946922E-3</v>
      </c>
      <c r="G204" s="13"/>
    </row>
    <row r="205" spans="1:7" x14ac:dyDescent="0.35">
      <c r="A205" s="1">
        <v>45766</v>
      </c>
      <c r="B205">
        <v>163.12</v>
      </c>
      <c r="C205" s="12">
        <v>0.17614824400000001</v>
      </c>
      <c r="D205" s="12">
        <v>1.1659638E-2</v>
      </c>
      <c r="E205" s="13">
        <v>204</v>
      </c>
      <c r="F205" s="12">
        <f t="shared" ca="1" si="5"/>
        <v>1.0809083978847568E-2</v>
      </c>
      <c r="G205" s="13"/>
    </row>
    <row r="206" spans="1:7" x14ac:dyDescent="0.35">
      <c r="A206" s="1">
        <v>45707</v>
      </c>
      <c r="B206">
        <v>138.69</v>
      </c>
      <c r="C206" s="12">
        <v>3.9499325000000002E-2</v>
      </c>
      <c r="D206" s="12">
        <v>1.1818779E-2</v>
      </c>
      <c r="E206" s="13">
        <v>205</v>
      </c>
      <c r="F206" s="12">
        <f t="shared" ca="1" si="5"/>
        <v>-9.4163410816058158E-3</v>
      </c>
      <c r="G206" s="13"/>
    </row>
    <row r="207" spans="1:7" x14ac:dyDescent="0.35">
      <c r="A207" s="1">
        <v>45691</v>
      </c>
      <c r="B207">
        <v>133.41999999999999</v>
      </c>
      <c r="C207" s="12">
        <v>-0.17484074499999999</v>
      </c>
      <c r="D207" s="12">
        <v>1.2137764000000001E-2</v>
      </c>
      <c r="E207" s="13">
        <v>206</v>
      </c>
      <c r="F207" s="12">
        <f t="shared" ca="1" si="5"/>
        <v>-7.2133851003965358E-3</v>
      </c>
      <c r="G207" s="13"/>
    </row>
    <row r="208" spans="1:7" x14ac:dyDescent="0.35">
      <c r="A208" s="1">
        <v>45811</v>
      </c>
      <c r="B208">
        <v>161.69</v>
      </c>
      <c r="C208" s="12">
        <v>-8.4739046999999998E-2</v>
      </c>
      <c r="D208" s="12">
        <v>1.2587675E-2</v>
      </c>
      <c r="E208" s="13">
        <v>207</v>
      </c>
      <c r="F208" s="12">
        <f t="shared" ca="1" si="5"/>
        <v>1.2813273874316786E-2</v>
      </c>
      <c r="G208" s="13"/>
    </row>
    <row r="209" spans="1:7" x14ac:dyDescent="0.35">
      <c r="A209" s="1">
        <v>45877</v>
      </c>
      <c r="B209">
        <v>176.66</v>
      </c>
      <c r="C209" s="12">
        <v>0.122720051</v>
      </c>
      <c r="D209" s="12">
        <v>1.2726439000000001E-2</v>
      </c>
      <c r="E209" s="13">
        <v>208</v>
      </c>
      <c r="F209" s="12">
        <f t="shared" ca="1" si="5"/>
        <v>-2.7002575253957387E-2</v>
      </c>
      <c r="G209" s="13"/>
    </row>
    <row r="210" spans="1:7" x14ac:dyDescent="0.35">
      <c r="A210" s="1">
        <v>45756</v>
      </c>
      <c r="B210">
        <v>157.35</v>
      </c>
      <c r="C210" s="12">
        <v>2.0626581000000001E-2</v>
      </c>
      <c r="D210" s="12">
        <v>1.3135020000000001E-2</v>
      </c>
      <c r="E210" s="13">
        <v>209</v>
      </c>
      <c r="F210" s="12">
        <f t="shared" ca="1" si="5"/>
        <v>1.590898824161358E-3</v>
      </c>
      <c r="G210" s="13"/>
    </row>
    <row r="211" spans="1:7" x14ac:dyDescent="0.35">
      <c r="A211" s="1">
        <v>45778</v>
      </c>
      <c r="B211">
        <v>154.16999999999999</v>
      </c>
      <c r="C211" s="12">
        <v>-2.6643096000000002E-2</v>
      </c>
      <c r="D211" s="12">
        <v>1.3409584E-2</v>
      </c>
      <c r="E211" s="13">
        <v>210</v>
      </c>
      <c r="F211" s="12">
        <f t="shared" ca="1" si="5"/>
        <v>2.6131753602651749E-2</v>
      </c>
      <c r="G211" s="13"/>
    </row>
    <row r="212" spans="1:7" x14ac:dyDescent="0.35">
      <c r="A212" s="1">
        <v>45835</v>
      </c>
      <c r="B212">
        <v>158.38999999999999</v>
      </c>
      <c r="C212" s="12">
        <v>0.138022704</v>
      </c>
      <c r="D212" s="12">
        <v>1.4215278E-2</v>
      </c>
      <c r="E212" s="13">
        <v>211</v>
      </c>
      <c r="F212" s="12">
        <f t="shared" ca="1" si="5"/>
        <v>9.9961061142848379E-3</v>
      </c>
      <c r="G212" s="13"/>
    </row>
    <row r="213" spans="1:7" x14ac:dyDescent="0.35">
      <c r="A213" s="1">
        <v>45739</v>
      </c>
      <c r="B213">
        <v>139.18</v>
      </c>
      <c r="C213" s="12">
        <v>-0.14282195</v>
      </c>
      <c r="D213" s="12">
        <v>1.4875309999999999E-2</v>
      </c>
      <c r="E213" s="13">
        <v>212</v>
      </c>
      <c r="F213" s="12">
        <f t="shared" ca="1" si="5"/>
        <v>5.0564766534887161E-3</v>
      </c>
      <c r="G213" s="13"/>
    </row>
    <row r="214" spans="1:7" x14ac:dyDescent="0.35">
      <c r="A214" s="1">
        <v>45803</v>
      </c>
      <c r="B214">
        <v>162.37</v>
      </c>
      <c r="C214" s="12">
        <v>4.8969572000000003E-2</v>
      </c>
      <c r="D214" s="12">
        <v>1.5447153999999999E-2</v>
      </c>
      <c r="E214" s="13">
        <v>213</v>
      </c>
      <c r="F214" s="12">
        <f t="shared" ca="1" si="5"/>
        <v>-4.5144585185996865E-3</v>
      </c>
      <c r="G214" s="13"/>
    </row>
    <row r="215" spans="1:7" x14ac:dyDescent="0.35">
      <c r="A215" s="1">
        <v>45784</v>
      </c>
      <c r="B215">
        <v>154.79</v>
      </c>
      <c r="C215" s="12">
        <v>-0.16654103000000001</v>
      </c>
      <c r="D215" s="12">
        <v>1.5482516999999999E-2</v>
      </c>
      <c r="E215" s="13">
        <v>214</v>
      </c>
      <c r="F215" s="12">
        <f t="shared" ca="1" si="5"/>
        <v>1.5526198260025494E-2</v>
      </c>
      <c r="G215" s="13"/>
    </row>
    <row r="216" spans="1:7" x14ac:dyDescent="0.35">
      <c r="A216" s="1">
        <v>45928</v>
      </c>
      <c r="B216">
        <v>185.72</v>
      </c>
      <c r="C216" s="12">
        <v>7.2038790000000005E-2</v>
      </c>
      <c r="D216" s="12">
        <v>1.5529309E-2</v>
      </c>
      <c r="E216" s="13">
        <v>215</v>
      </c>
      <c r="F216" s="12">
        <f t="shared" ca="1" si="5"/>
        <v>2.4487575253011592E-2</v>
      </c>
      <c r="G216" s="13"/>
    </row>
    <row r="217" spans="1:7" x14ac:dyDescent="0.35">
      <c r="A217" s="1">
        <v>45868</v>
      </c>
      <c r="B217">
        <v>173.24</v>
      </c>
      <c r="C217" s="12">
        <v>8.3427141999999996E-2</v>
      </c>
      <c r="D217" s="12">
        <v>1.6010791E-2</v>
      </c>
      <c r="E217" s="13">
        <v>216</v>
      </c>
      <c r="F217" s="12">
        <f t="shared" ca="1" si="5"/>
        <v>2.3438224321907106E-2</v>
      </c>
      <c r="G217" s="13"/>
    </row>
    <row r="218" spans="1:7" x14ac:dyDescent="0.35">
      <c r="A218" s="1">
        <v>45802</v>
      </c>
      <c r="B218">
        <v>159.9</v>
      </c>
      <c r="C218" s="12">
        <v>-7.0456924000000004E-2</v>
      </c>
      <c r="D218" s="12">
        <v>1.6335091999999999E-2</v>
      </c>
      <c r="E218" s="13">
        <v>217</v>
      </c>
      <c r="F218" s="12">
        <f t="shared" ca="1" si="5"/>
        <v>3.2731276499671112E-3</v>
      </c>
      <c r="G218" s="13"/>
    </row>
    <row r="219" spans="1:7" x14ac:dyDescent="0.35">
      <c r="A219" s="1">
        <v>45846</v>
      </c>
      <c r="B219">
        <v>172.02</v>
      </c>
      <c r="C219" s="12">
        <v>0.19094433699999999</v>
      </c>
      <c r="D219" s="12">
        <v>1.6486438999999999E-2</v>
      </c>
      <c r="E219" s="13">
        <v>218</v>
      </c>
      <c r="F219" s="12">
        <f t="shared" ca="1" si="5"/>
        <v>-1.5912277678232726E-2</v>
      </c>
      <c r="G219" s="13"/>
    </row>
    <row r="220" spans="1:7" x14ac:dyDescent="0.35">
      <c r="A220" s="1">
        <v>45749</v>
      </c>
      <c r="B220">
        <v>144.44</v>
      </c>
      <c r="C220" s="12">
        <v>9.1926217000000005E-2</v>
      </c>
      <c r="D220" s="12">
        <v>1.6610360000000001E-2</v>
      </c>
      <c r="E220" s="13">
        <v>219</v>
      </c>
      <c r="F220" s="12">
        <f t="shared" ca="1" si="5"/>
        <v>1.5688475497583759E-2</v>
      </c>
      <c r="G220" s="13"/>
    </row>
    <row r="221" spans="1:7" x14ac:dyDescent="0.35">
      <c r="A221" s="1">
        <v>45697</v>
      </c>
      <c r="B221">
        <v>132.28</v>
      </c>
      <c r="C221" s="12">
        <v>-4.1727036000000002E-2</v>
      </c>
      <c r="D221" s="12">
        <v>1.6678195E-2</v>
      </c>
      <c r="E221" s="13">
        <v>220</v>
      </c>
      <c r="F221" s="12">
        <f t="shared" ca="1" si="5"/>
        <v>4.8608056538434526E-3</v>
      </c>
      <c r="G221" s="13"/>
    </row>
    <row r="222" spans="1:7" x14ac:dyDescent="0.35">
      <c r="A222" s="1">
        <v>45703</v>
      </c>
      <c r="B222">
        <v>138.04</v>
      </c>
      <c r="C222" s="12">
        <v>-0.14748023699999999</v>
      </c>
      <c r="D222" s="12">
        <v>1.6794343E-2</v>
      </c>
      <c r="E222" s="13">
        <v>221</v>
      </c>
      <c r="F222" s="12">
        <f t="shared" ca="1" si="5"/>
        <v>-7.2314132494981104E-6</v>
      </c>
      <c r="G222" s="13"/>
    </row>
    <row r="223" spans="1:7" x14ac:dyDescent="0.35">
      <c r="A223" s="1">
        <v>45826</v>
      </c>
      <c r="B223">
        <v>161.91999999999999</v>
      </c>
      <c r="C223" s="12">
        <v>2.5069638000000002E-2</v>
      </c>
      <c r="D223" s="12">
        <v>1.6893801E-2</v>
      </c>
      <c r="E223" s="13">
        <v>222</v>
      </c>
      <c r="F223" s="12">
        <f t="shared" ca="1" si="5"/>
        <v>9.9679402677181634E-3</v>
      </c>
      <c r="G223" s="13"/>
    </row>
    <row r="224" spans="1:7" x14ac:dyDescent="0.35">
      <c r="A224" s="1">
        <v>45824</v>
      </c>
      <c r="B224">
        <v>157.96</v>
      </c>
      <c r="C224" s="12">
        <v>-2.2766642E-2</v>
      </c>
      <c r="D224" s="12">
        <v>1.7128139000000001E-2</v>
      </c>
      <c r="E224" s="13">
        <v>223</v>
      </c>
      <c r="F224" s="12">
        <f t="shared" ca="1" si="5"/>
        <v>-1.418848787556928E-2</v>
      </c>
      <c r="G224" s="13"/>
    </row>
    <row r="225" spans="1:7" x14ac:dyDescent="0.35">
      <c r="A225" s="1">
        <v>45760</v>
      </c>
      <c r="B225">
        <v>161.63999999999999</v>
      </c>
      <c r="C225" s="12">
        <v>-0.127166694</v>
      </c>
      <c r="D225" s="12">
        <v>1.8589702999999999E-2</v>
      </c>
      <c r="E225" s="13">
        <v>224</v>
      </c>
      <c r="F225" s="12">
        <f t="shared" ca="1" si="5"/>
        <v>-6.1864444275942683E-3</v>
      </c>
      <c r="G225" s="13"/>
    </row>
    <row r="226" spans="1:7" x14ac:dyDescent="0.35">
      <c r="A226" s="1">
        <v>45880</v>
      </c>
      <c r="B226">
        <v>185.19</v>
      </c>
      <c r="C226" s="12">
        <v>0.19740075000000001</v>
      </c>
      <c r="D226" s="12">
        <v>1.8590836999999999E-2</v>
      </c>
      <c r="E226" s="13">
        <v>225</v>
      </c>
      <c r="F226" s="12">
        <f t="shared" ca="1" si="5"/>
        <v>6.7050413130171748E-4</v>
      </c>
      <c r="G226" s="13"/>
    </row>
    <row r="227" spans="1:7" x14ac:dyDescent="0.35">
      <c r="A227" s="1">
        <v>45719</v>
      </c>
      <c r="B227">
        <v>154.66</v>
      </c>
      <c r="C227" s="12">
        <v>-0.102379571</v>
      </c>
      <c r="D227" s="12">
        <v>1.8773466999999999E-2</v>
      </c>
      <c r="E227" s="13">
        <v>226</v>
      </c>
      <c r="F227" s="12">
        <f t="shared" ca="1" si="5"/>
        <v>-2.8629002762097897E-3</v>
      </c>
      <c r="G227" s="13"/>
    </row>
    <row r="228" spans="1:7" x14ac:dyDescent="0.35">
      <c r="A228" s="1">
        <v>45923</v>
      </c>
      <c r="B228">
        <v>172.3</v>
      </c>
      <c r="C228" s="12">
        <v>0.22406933800000001</v>
      </c>
      <c r="D228" s="12">
        <v>1.8803217000000001E-2</v>
      </c>
      <c r="E228" s="13">
        <v>227</v>
      </c>
      <c r="F228" s="12">
        <f t="shared" ca="1" si="5"/>
        <v>1.4047904507462988E-2</v>
      </c>
      <c r="G228" s="13"/>
    </row>
    <row r="229" spans="1:7" x14ac:dyDescent="0.35">
      <c r="A229" s="1">
        <v>45704</v>
      </c>
      <c r="B229">
        <v>140.76</v>
      </c>
      <c r="C229" s="12">
        <v>-0.17038958000000001</v>
      </c>
      <c r="D229" s="12">
        <v>1.9704433E-2</v>
      </c>
      <c r="E229" s="13">
        <v>228</v>
      </c>
      <c r="F229" s="12">
        <f t="shared" ca="1" si="5"/>
        <v>-1.7644749677321252E-3</v>
      </c>
      <c r="G229" s="13"/>
    </row>
    <row r="230" spans="1:7" x14ac:dyDescent="0.35">
      <c r="A230" s="1">
        <v>45900</v>
      </c>
      <c r="B230">
        <v>169.67</v>
      </c>
      <c r="C230" s="12">
        <v>-3.4869169999999998E-2</v>
      </c>
      <c r="D230" s="12">
        <v>2.0080562999999999E-2</v>
      </c>
      <c r="E230" s="13">
        <v>229</v>
      </c>
      <c r="F230" s="12">
        <f t="shared" ca="1" si="5"/>
        <v>1.457489732099761E-2</v>
      </c>
      <c r="G230" s="13"/>
    </row>
    <row r="231" spans="1:7" x14ac:dyDescent="0.35">
      <c r="A231" s="1">
        <v>45924</v>
      </c>
      <c r="B231">
        <v>175.8</v>
      </c>
      <c r="C231" s="12">
        <v>0.24539529600000001</v>
      </c>
      <c r="D231" s="12">
        <v>2.0313406999999999E-2</v>
      </c>
      <c r="E231" s="13">
        <v>230</v>
      </c>
      <c r="F231" s="12">
        <f t="shared" ca="1" si="5"/>
        <v>5.2599399850368316E-3</v>
      </c>
      <c r="G231" s="13"/>
    </row>
    <row r="232" spans="1:7" x14ac:dyDescent="0.35">
      <c r="A232" s="1">
        <v>45741</v>
      </c>
      <c r="B232">
        <v>141.16</v>
      </c>
      <c r="C232" s="12">
        <v>3.4821494000000001E-2</v>
      </c>
      <c r="D232" s="12">
        <v>2.1713955E-2</v>
      </c>
      <c r="E232" s="13">
        <v>231</v>
      </c>
      <c r="F232" s="12">
        <f t="shared" ca="1" si="5"/>
        <v>-2.512083232287024E-2</v>
      </c>
      <c r="G232" s="13"/>
    </row>
    <row r="233" spans="1:7" x14ac:dyDescent="0.35">
      <c r="A233" s="1">
        <v>45736</v>
      </c>
      <c r="B233">
        <v>136.41</v>
      </c>
      <c r="C233" s="12">
        <v>-0.247891051</v>
      </c>
      <c r="D233" s="12">
        <v>2.2410433E-2</v>
      </c>
      <c r="E233" s="13">
        <v>232</v>
      </c>
      <c r="F233" s="12">
        <f t="shared" ca="1" si="5"/>
        <v>1.7258425173591438E-4</v>
      </c>
      <c r="G233" s="13"/>
    </row>
    <row r="234" spans="1:7" x14ac:dyDescent="0.35">
      <c r="A234" s="1">
        <v>45887</v>
      </c>
      <c r="B234">
        <v>181.37</v>
      </c>
      <c r="C234" s="12">
        <v>0.27662419900000002</v>
      </c>
      <c r="D234" s="12">
        <v>2.3128560999999999E-2</v>
      </c>
      <c r="E234" s="13">
        <v>233</v>
      </c>
      <c r="F234" s="12">
        <f t="shared" ca="1" si="5"/>
        <v>1.4614398324290826E-2</v>
      </c>
      <c r="G234" s="13"/>
    </row>
    <row r="235" spans="1:7" x14ac:dyDescent="0.35">
      <c r="A235" s="1">
        <v>45744</v>
      </c>
      <c r="B235">
        <v>142.07</v>
      </c>
      <c r="C235" s="12">
        <v>-0.211072857</v>
      </c>
      <c r="D235" s="12">
        <v>2.3190493E-2</v>
      </c>
      <c r="E235" s="13">
        <v>234</v>
      </c>
      <c r="F235" s="12">
        <f t="shared" ca="1" si="5"/>
        <v>2.8900629770112405E-2</v>
      </c>
      <c r="G235" s="13"/>
    </row>
    <row r="236" spans="1:7" x14ac:dyDescent="0.35">
      <c r="A236" s="1">
        <v>45925</v>
      </c>
      <c r="B236">
        <v>180.08</v>
      </c>
      <c r="C236" s="12">
        <v>-6.3449137000000003E-2</v>
      </c>
      <c r="D236" s="12">
        <v>2.4345848E-2</v>
      </c>
      <c r="E236" s="13">
        <v>235</v>
      </c>
      <c r="F236" s="12">
        <f t="shared" ca="1" si="5"/>
        <v>-1.6043570312093705E-2</v>
      </c>
      <c r="G236" s="13"/>
    </row>
    <row r="237" spans="1:7" x14ac:dyDescent="0.35">
      <c r="A237" s="1">
        <v>45942</v>
      </c>
      <c r="B237">
        <v>192.28</v>
      </c>
      <c r="C237" s="12">
        <v>1.6816498999999999E-2</v>
      </c>
      <c r="D237" s="12">
        <v>2.4892062999999999E-2</v>
      </c>
      <c r="E237" s="13">
        <v>236</v>
      </c>
      <c r="F237" s="12">
        <f t="shared" ca="1" si="5"/>
        <v>-3.1862393002704283E-3</v>
      </c>
      <c r="G237" s="13"/>
    </row>
    <row r="238" spans="1:7" x14ac:dyDescent="0.35">
      <c r="A238" s="1">
        <v>45940</v>
      </c>
      <c r="B238">
        <v>189.1</v>
      </c>
      <c r="C238" s="12">
        <v>0.192307692</v>
      </c>
      <c r="D238" s="12">
        <v>2.543246E-2</v>
      </c>
      <c r="E238" s="13">
        <v>237</v>
      </c>
      <c r="F238" s="12">
        <f t="shared" ca="1" si="5"/>
        <v>-1.9947143224065586E-2</v>
      </c>
      <c r="G238" s="13"/>
    </row>
    <row r="239" spans="1:7" x14ac:dyDescent="0.35">
      <c r="A239" s="1">
        <v>45720</v>
      </c>
      <c r="B239">
        <v>158.6</v>
      </c>
      <c r="C239" s="12">
        <v>-4.6760428E-2</v>
      </c>
      <c r="D239" s="12">
        <v>2.5475235999999998E-2</v>
      </c>
      <c r="E239" s="13">
        <v>238</v>
      </c>
      <c r="F239" s="12">
        <f t="shared" ca="1" si="5"/>
        <v>5.9797440822800894E-5</v>
      </c>
      <c r="G239" s="13"/>
    </row>
    <row r="240" spans="1:7" x14ac:dyDescent="0.35">
      <c r="A240" s="1">
        <v>45911</v>
      </c>
      <c r="B240">
        <v>166.38</v>
      </c>
      <c r="C240" s="12">
        <v>-5.6909647000000001E-2</v>
      </c>
      <c r="D240" s="12">
        <v>2.5580965000000001E-2</v>
      </c>
      <c r="E240" s="13">
        <v>239</v>
      </c>
      <c r="F240" s="12">
        <f t="shared" ca="1" si="5"/>
        <v>-2.3773182704860858E-2</v>
      </c>
      <c r="G240" s="13"/>
    </row>
    <row r="241" spans="1:7" x14ac:dyDescent="0.35">
      <c r="A241" s="1">
        <v>45864</v>
      </c>
      <c r="B241">
        <v>176.42</v>
      </c>
      <c r="C241" s="12">
        <v>9.8916158000000004E-2</v>
      </c>
      <c r="D241" s="12">
        <v>2.6055601000000001E-2</v>
      </c>
      <c r="E241" s="13">
        <v>240</v>
      </c>
      <c r="F241" s="12">
        <f t="shared" ca="1" si="5"/>
        <v>-7.6393418833871039E-3</v>
      </c>
      <c r="G241" s="13"/>
    </row>
    <row r="242" spans="1:7" x14ac:dyDescent="0.35">
      <c r="A242" s="1">
        <v>45786</v>
      </c>
      <c r="B242">
        <v>160.54</v>
      </c>
      <c r="C242" s="12">
        <v>-0.123881249</v>
      </c>
      <c r="D242" s="12">
        <v>2.6536224000000001E-2</v>
      </c>
      <c r="E242" s="13">
        <v>241</v>
      </c>
      <c r="F242" s="12">
        <f t="shared" ca="1" si="5"/>
        <v>1.6906885189879355E-2</v>
      </c>
      <c r="G242" s="13"/>
    </row>
    <row r="243" spans="1:7" x14ac:dyDescent="0.35">
      <c r="A243" s="1">
        <v>45933</v>
      </c>
      <c r="B243">
        <v>183.24</v>
      </c>
      <c r="C243" s="12">
        <v>7.8653539999999997E-3</v>
      </c>
      <c r="D243" s="12">
        <v>2.7130044999999998E-2</v>
      </c>
      <c r="E243" s="13">
        <v>242</v>
      </c>
      <c r="F243" s="12">
        <f t="shared" ca="1" si="5"/>
        <v>2.2866874678497452E-2</v>
      </c>
      <c r="G243" s="13"/>
    </row>
    <row r="244" spans="1:7" x14ac:dyDescent="0.35">
      <c r="A244" s="1">
        <v>45879</v>
      </c>
      <c r="B244">
        <v>181.81</v>
      </c>
      <c r="C244" s="12">
        <v>0.20852166999999999</v>
      </c>
      <c r="D244" s="12">
        <v>2.9152042999999999E-2</v>
      </c>
      <c r="E244" s="13">
        <v>243</v>
      </c>
      <c r="F244" s="12">
        <f t="shared" ca="1" si="5"/>
        <v>-2.0164855585079869E-2</v>
      </c>
      <c r="G244" s="13"/>
    </row>
    <row r="245" spans="1:7" x14ac:dyDescent="0.35">
      <c r="A245" s="1">
        <v>45712</v>
      </c>
      <c r="B245">
        <v>150.44</v>
      </c>
      <c r="C245" s="12">
        <v>0.104146789</v>
      </c>
      <c r="D245" s="12">
        <v>2.9705681000000001E-2</v>
      </c>
      <c r="E245" s="13">
        <v>244</v>
      </c>
      <c r="F245" s="12">
        <f t="shared" ca="1" si="5"/>
        <v>-1.3825134539355551E-3</v>
      </c>
      <c r="G245" s="13"/>
    </row>
    <row r="246" spans="1:7" x14ac:dyDescent="0.35">
      <c r="A246" s="1">
        <v>45698</v>
      </c>
      <c r="B246">
        <v>136.25</v>
      </c>
      <c r="C246" s="12">
        <v>-0.20734190499999999</v>
      </c>
      <c r="D246" s="12">
        <v>3.0012095999999999E-2</v>
      </c>
      <c r="E246" s="13">
        <v>245</v>
      </c>
      <c r="F246" s="12">
        <f t="shared" ca="1" si="5"/>
        <v>-8.4129144284386375E-3</v>
      </c>
      <c r="G246" s="13"/>
    </row>
    <row r="247" spans="1:7" x14ac:dyDescent="0.35">
      <c r="A247" s="1">
        <v>45912</v>
      </c>
      <c r="B247">
        <v>171.89</v>
      </c>
      <c r="C247" s="12">
        <v>-7.6208070000000003E-3</v>
      </c>
      <c r="D247" s="12">
        <v>3.3116961E-2</v>
      </c>
      <c r="E247" s="13">
        <v>246</v>
      </c>
      <c r="F247" s="12">
        <f t="shared" ca="1" si="5"/>
        <v>1.1640521107353861E-2</v>
      </c>
      <c r="G247" s="13"/>
    </row>
    <row r="248" spans="1:7" x14ac:dyDescent="0.35">
      <c r="A248" s="1">
        <v>45859</v>
      </c>
      <c r="B248">
        <v>173.21</v>
      </c>
      <c r="C248" s="12">
        <v>4.4188570000000003E-2</v>
      </c>
      <c r="D248" s="12">
        <v>3.4027819000000001E-2</v>
      </c>
      <c r="E248" s="13">
        <v>247</v>
      </c>
      <c r="F248" s="12">
        <f t="shared" ca="1" si="5"/>
        <v>9.9031827067379754E-3</v>
      </c>
      <c r="G248" s="13"/>
    </row>
    <row r="249" spans="1:7" x14ac:dyDescent="0.35">
      <c r="A249" s="1">
        <v>45790</v>
      </c>
      <c r="B249">
        <v>165.88</v>
      </c>
      <c r="C249" s="12">
        <v>-0.12348745</v>
      </c>
      <c r="D249" s="12">
        <v>3.6361364E-2</v>
      </c>
      <c r="E249" s="13">
        <v>248</v>
      </c>
      <c r="F249" s="12">
        <f t="shared" ca="1" si="5"/>
        <v>1.1936915406076895E-3</v>
      </c>
      <c r="G249" s="13"/>
    </row>
    <row r="250" spans="1:7" x14ac:dyDescent="0.35">
      <c r="A250" s="1">
        <v>45935</v>
      </c>
      <c r="B250">
        <v>189.25</v>
      </c>
      <c r="C250" s="12">
        <v>0.218530681</v>
      </c>
      <c r="D250" s="12">
        <v>3.6588705999999999E-2</v>
      </c>
      <c r="E250" s="13">
        <v>249</v>
      </c>
      <c r="F250" s="12">
        <f t="shared" ca="1" si="5"/>
        <v>-1.446029253001218E-2</v>
      </c>
      <c r="G250" s="13"/>
    </row>
    <row r="251" spans="1:7" x14ac:dyDescent="0.35">
      <c r="A251" s="1">
        <v>45755</v>
      </c>
      <c r="B251">
        <v>155.31</v>
      </c>
      <c r="C251" s="12">
        <v>-2.6635748000000001E-2</v>
      </c>
      <c r="D251" s="12">
        <v>3.9349528000000002E-2</v>
      </c>
      <c r="E251" s="13">
        <v>250</v>
      </c>
      <c r="F251" s="12">
        <f t="shared" ca="1" si="5"/>
        <v>2.5472680440546413E-2</v>
      </c>
      <c r="G251" s="13"/>
    </row>
    <row r="252" spans="1:7" x14ac:dyDescent="0.35">
      <c r="A252" s="1">
        <v>45815</v>
      </c>
      <c r="B252">
        <v>159.56</v>
      </c>
      <c r="C252" s="12">
        <v>0.153640373</v>
      </c>
      <c r="D252" s="12">
        <v>4.2807659999999997E-2</v>
      </c>
      <c r="E252" s="13">
        <v>251</v>
      </c>
      <c r="F252" s="12">
        <f t="shared" ca="1" si="5"/>
        <v>-6.7628908721008695E-3</v>
      </c>
      <c r="G252" s="13"/>
    </row>
    <row r="253" spans="1:7" x14ac:dyDescent="0.35">
      <c r="A253" s="1">
        <v>45694</v>
      </c>
      <c r="B253">
        <v>138.31</v>
      </c>
      <c r="C253" s="12">
        <v>-0.316379992</v>
      </c>
      <c r="D253" s="12">
        <v>4.3534027000000003E-2</v>
      </c>
      <c r="E253" s="13">
        <v>252</v>
      </c>
      <c r="F253" s="12">
        <f t="shared" ca="1" si="5"/>
        <v>3.3335168170764207E-2</v>
      </c>
      <c r="G253" s="13"/>
    </row>
    <row r="254" spans="1:7" x14ac:dyDescent="0.35">
      <c r="A254" s="1">
        <v>45944</v>
      </c>
      <c r="B254">
        <v>202.32</v>
      </c>
      <c r="C254" s="12">
        <v>0.38480492799999999</v>
      </c>
      <c r="D254" s="12">
        <v>4.3693577999999997E-2</v>
      </c>
      <c r="E254" s="13">
        <v>253</v>
      </c>
      <c r="F254" s="12">
        <f t="shared" ca="1" si="5"/>
        <v>2.0635585713645238E-2</v>
      </c>
      <c r="G254" s="13"/>
    </row>
    <row r="255" spans="1:7" x14ac:dyDescent="0.35">
      <c r="A255" s="1">
        <v>45711</v>
      </c>
      <c r="B255">
        <v>146.1</v>
      </c>
      <c r="C255" s="12">
        <v>9.5038225000000004E-2</v>
      </c>
      <c r="D255" s="12">
        <v>4.8514425E-2</v>
      </c>
      <c r="E255" s="13">
        <v>254</v>
      </c>
      <c r="F255" s="12">
        <f t="shared" ca="1" si="5"/>
        <v>-4.1691200616022998E-3</v>
      </c>
      <c r="G255" s="13"/>
    </row>
    <row r="256" spans="1:7" x14ac:dyDescent="0.35">
      <c r="A256" s="1">
        <v>45735</v>
      </c>
      <c r="B256">
        <v>133.41999999999999</v>
      </c>
      <c r="C256" s="12">
        <v>-0.20512362200000001</v>
      </c>
      <c r="D256" s="12">
        <v>4.9064318000000003E-2</v>
      </c>
      <c r="E256" s="13">
        <v>255</v>
      </c>
      <c r="F256" s="12">
        <f t="shared" ca="1" si="5"/>
        <v>4.6371024646438899E-2</v>
      </c>
      <c r="G256" s="13"/>
    </row>
    <row r="257" spans="1:7" x14ac:dyDescent="0.35">
      <c r="A257" s="1">
        <v>45836</v>
      </c>
      <c r="B257">
        <v>167.85</v>
      </c>
      <c r="C257" s="12">
        <v>0.106970916</v>
      </c>
      <c r="D257" s="12">
        <v>5.9725992999999998E-2</v>
      </c>
      <c r="E257" s="13">
        <v>256</v>
      </c>
      <c r="F257" s="12">
        <f t="shared" ca="1" si="5"/>
        <v>3.6333099670009507E-2</v>
      </c>
      <c r="G257" s="13"/>
    </row>
    <row r="258" spans="1:7" x14ac:dyDescent="0.35">
      <c r="A258" s="1">
        <v>45753</v>
      </c>
      <c r="B258">
        <v>151.63</v>
      </c>
      <c r="C258" s="12">
        <v>0.126355668</v>
      </c>
      <c r="D258" s="12">
        <v>6.1983470999999998E-2</v>
      </c>
      <c r="E258" s="13">
        <v>257</v>
      </c>
      <c r="F258" s="12">
        <f t="shared" ca="1" si="5"/>
        <v>1.8697407379354079E-2</v>
      </c>
      <c r="G258" s="13"/>
    </row>
    <row r="259" spans="1:7" x14ac:dyDescent="0.35">
      <c r="A259" s="1">
        <v>45688</v>
      </c>
      <c r="B259">
        <v>134.62</v>
      </c>
      <c r="C259" s="12" t="e">
        <v>#DIV/0!</v>
      </c>
      <c r="D259" s="12" t="e">
        <v>#DIV/0!</v>
      </c>
      <c r="E259" s="13">
        <v>258</v>
      </c>
      <c r="F259" s="12">
        <f t="shared" ref="F259:F322" ca="1" si="6">_xlfn.NORM.INV(RAND(),$I$3,$I$4)</f>
        <v>1.1772159526430774E-3</v>
      </c>
      <c r="G259" s="13"/>
    </row>
    <row r="260" spans="1:7" x14ac:dyDescent="0.35">
      <c r="E260" s="13">
        <v>259</v>
      </c>
      <c r="F260" s="12">
        <f t="shared" ca="1" si="6"/>
        <v>1.2347752763390014E-2</v>
      </c>
    </row>
    <row r="261" spans="1:7" x14ac:dyDescent="0.35">
      <c r="E261" s="13">
        <v>260</v>
      </c>
      <c r="F261" s="12">
        <f t="shared" ca="1" si="6"/>
        <v>-2.5555489347690641E-2</v>
      </c>
    </row>
    <row r="262" spans="1:7" x14ac:dyDescent="0.35">
      <c r="E262" s="13">
        <v>261</v>
      </c>
      <c r="F262" s="12">
        <f t="shared" ca="1" si="6"/>
        <v>-1.249470550793373E-2</v>
      </c>
    </row>
    <row r="263" spans="1:7" x14ac:dyDescent="0.35">
      <c r="E263" s="13">
        <v>262</v>
      </c>
      <c r="F263" s="12">
        <f t="shared" ca="1" si="6"/>
        <v>2.7560680566801474E-2</v>
      </c>
    </row>
    <row r="264" spans="1:7" x14ac:dyDescent="0.35">
      <c r="E264" s="13">
        <v>263</v>
      </c>
      <c r="F264" s="12">
        <f t="shared" ca="1" si="6"/>
        <v>-1.6836439157171496E-2</v>
      </c>
    </row>
    <row r="265" spans="1:7" x14ac:dyDescent="0.35">
      <c r="E265" s="13">
        <v>264</v>
      </c>
      <c r="F265" s="12">
        <f t="shared" ca="1" si="6"/>
        <v>-1.2360289775043229E-2</v>
      </c>
    </row>
    <row r="266" spans="1:7" x14ac:dyDescent="0.35">
      <c r="E266" s="13">
        <v>265</v>
      </c>
      <c r="F266" s="12">
        <f t="shared" ca="1" si="6"/>
        <v>-2.782598221319205E-2</v>
      </c>
    </row>
    <row r="267" spans="1:7" x14ac:dyDescent="0.35">
      <c r="E267" s="13">
        <v>266</v>
      </c>
      <c r="F267" s="12">
        <f t="shared" ca="1" si="6"/>
        <v>-1.0549859079482622E-2</v>
      </c>
    </row>
    <row r="268" spans="1:7" x14ac:dyDescent="0.35">
      <c r="E268" s="13">
        <v>267</v>
      </c>
      <c r="F268" s="12">
        <f t="shared" ca="1" si="6"/>
        <v>-8.8081659315153507E-3</v>
      </c>
    </row>
    <row r="269" spans="1:7" x14ac:dyDescent="0.35">
      <c r="E269" s="13">
        <v>268</v>
      </c>
      <c r="F269" s="12">
        <f t="shared" ca="1" si="6"/>
        <v>1.5055511548815601E-2</v>
      </c>
    </row>
    <row r="270" spans="1:7" x14ac:dyDescent="0.35">
      <c r="E270" s="13">
        <v>269</v>
      </c>
      <c r="F270" s="12">
        <f t="shared" ca="1" si="6"/>
        <v>-1.0539323256396952E-2</v>
      </c>
    </row>
    <row r="271" spans="1:7" x14ac:dyDescent="0.35">
      <c r="E271" s="13">
        <v>270</v>
      </c>
      <c r="F271" s="12">
        <f t="shared" ca="1" si="6"/>
        <v>-1.0208405195509494E-2</v>
      </c>
    </row>
    <row r="272" spans="1:7" x14ac:dyDescent="0.35">
      <c r="E272" s="13">
        <v>271</v>
      </c>
      <c r="F272" s="12">
        <f t="shared" ca="1" si="6"/>
        <v>2.6470553494892159E-2</v>
      </c>
    </row>
    <row r="273" spans="5:6" x14ac:dyDescent="0.35">
      <c r="E273" s="13">
        <v>272</v>
      </c>
      <c r="F273" s="12">
        <f t="shared" ca="1" si="6"/>
        <v>-3.1157021603316161E-2</v>
      </c>
    </row>
    <row r="274" spans="5:6" x14ac:dyDescent="0.35">
      <c r="E274" s="13">
        <v>273</v>
      </c>
      <c r="F274" s="12">
        <f t="shared" ca="1" si="6"/>
        <v>-2.7326808584651818E-2</v>
      </c>
    </row>
    <row r="275" spans="5:6" x14ac:dyDescent="0.35">
      <c r="E275" s="13">
        <v>274</v>
      </c>
      <c r="F275" s="12">
        <f t="shared" ca="1" si="6"/>
        <v>5.396495980204169E-2</v>
      </c>
    </row>
    <row r="276" spans="5:6" x14ac:dyDescent="0.35">
      <c r="E276" s="13">
        <v>275</v>
      </c>
      <c r="F276" s="12">
        <f t="shared" ca="1" si="6"/>
        <v>-3.7425682106558777E-2</v>
      </c>
    </row>
    <row r="277" spans="5:6" x14ac:dyDescent="0.35">
      <c r="E277" s="13">
        <v>276</v>
      </c>
      <c r="F277" s="12">
        <f t="shared" ca="1" si="6"/>
        <v>-1.5957976447035456E-2</v>
      </c>
    </row>
    <row r="278" spans="5:6" x14ac:dyDescent="0.35">
      <c r="E278" s="13">
        <v>277</v>
      </c>
      <c r="F278" s="12">
        <f t="shared" ca="1" si="6"/>
        <v>6.1344264619701341E-3</v>
      </c>
    </row>
    <row r="279" spans="5:6" x14ac:dyDescent="0.35">
      <c r="E279" s="13">
        <v>278</v>
      </c>
      <c r="F279" s="12">
        <f t="shared" ca="1" si="6"/>
        <v>-3.6402026822645642E-3</v>
      </c>
    </row>
    <row r="280" spans="5:6" x14ac:dyDescent="0.35">
      <c r="E280" s="13">
        <v>279</v>
      </c>
      <c r="F280" s="12">
        <f t="shared" ca="1" si="6"/>
        <v>1.8193679594523074E-2</v>
      </c>
    </row>
    <row r="281" spans="5:6" x14ac:dyDescent="0.35">
      <c r="E281" s="13">
        <v>280</v>
      </c>
      <c r="F281" s="12">
        <f t="shared" ca="1" si="6"/>
        <v>3.4788133420020843E-2</v>
      </c>
    </row>
    <row r="282" spans="5:6" x14ac:dyDescent="0.35">
      <c r="E282" s="13">
        <v>281</v>
      </c>
      <c r="F282" s="12">
        <f t="shared" ca="1" si="6"/>
        <v>-1.3451314475277915E-2</v>
      </c>
    </row>
    <row r="283" spans="5:6" x14ac:dyDescent="0.35">
      <c r="E283" s="13">
        <v>282</v>
      </c>
      <c r="F283" s="12">
        <f t="shared" ca="1" si="6"/>
        <v>-4.8725810084576361E-2</v>
      </c>
    </row>
    <row r="284" spans="5:6" x14ac:dyDescent="0.35">
      <c r="E284" s="13">
        <v>283</v>
      </c>
      <c r="F284" s="12">
        <f t="shared" ca="1" si="6"/>
        <v>-1.9540727424546458E-2</v>
      </c>
    </row>
    <row r="285" spans="5:6" x14ac:dyDescent="0.35">
      <c r="E285" s="13">
        <v>284</v>
      </c>
      <c r="F285" s="12">
        <f t="shared" ca="1" si="6"/>
        <v>1.2236461272262094E-2</v>
      </c>
    </row>
    <row r="286" spans="5:6" x14ac:dyDescent="0.35">
      <c r="E286" s="13">
        <v>285</v>
      </c>
      <c r="F286" s="12">
        <f t="shared" ca="1" si="6"/>
        <v>1.3006744193519349E-2</v>
      </c>
    </row>
    <row r="287" spans="5:6" x14ac:dyDescent="0.35">
      <c r="E287" s="13">
        <v>286</v>
      </c>
      <c r="F287" s="12">
        <f t="shared" ca="1" si="6"/>
        <v>4.4129315177691584E-3</v>
      </c>
    </row>
    <row r="288" spans="5:6" x14ac:dyDescent="0.35">
      <c r="E288" s="13">
        <v>287</v>
      </c>
      <c r="F288" s="12">
        <f t="shared" ca="1" si="6"/>
        <v>-2.1795640851397343E-2</v>
      </c>
    </row>
    <row r="289" spans="5:6" x14ac:dyDescent="0.35">
      <c r="E289" s="13">
        <v>288</v>
      </c>
      <c r="F289" s="12">
        <f t="shared" ca="1" si="6"/>
        <v>-4.4606522523367428E-2</v>
      </c>
    </row>
    <row r="290" spans="5:6" x14ac:dyDescent="0.35">
      <c r="E290" s="13">
        <v>289</v>
      </c>
      <c r="F290" s="12">
        <f t="shared" ca="1" si="6"/>
        <v>9.960264140361403E-3</v>
      </c>
    </row>
    <row r="291" spans="5:6" x14ac:dyDescent="0.35">
      <c r="E291" s="13">
        <v>290</v>
      </c>
      <c r="F291" s="12">
        <f t="shared" ca="1" si="6"/>
        <v>4.2012229359909455E-3</v>
      </c>
    </row>
    <row r="292" spans="5:6" x14ac:dyDescent="0.35">
      <c r="E292" s="13">
        <v>291</v>
      </c>
      <c r="F292" s="12">
        <f t="shared" ca="1" si="6"/>
        <v>4.9099332098748154E-3</v>
      </c>
    </row>
    <row r="293" spans="5:6" x14ac:dyDescent="0.35">
      <c r="E293" s="13">
        <v>292</v>
      </c>
      <c r="F293" s="12">
        <f t="shared" ca="1" si="6"/>
        <v>9.869097302345111E-3</v>
      </c>
    </row>
    <row r="294" spans="5:6" x14ac:dyDescent="0.35">
      <c r="E294" s="13">
        <v>293</v>
      </c>
      <c r="F294" s="12">
        <f t="shared" ca="1" si="6"/>
        <v>2.0975252326588513E-2</v>
      </c>
    </row>
    <row r="295" spans="5:6" x14ac:dyDescent="0.35">
      <c r="E295" s="13">
        <v>294</v>
      </c>
      <c r="F295" s="12">
        <f t="shared" ca="1" si="6"/>
        <v>1.4790840935663572E-2</v>
      </c>
    </row>
    <row r="296" spans="5:6" x14ac:dyDescent="0.35">
      <c r="E296" s="13">
        <v>295</v>
      </c>
      <c r="F296" s="12">
        <f t="shared" ca="1" si="6"/>
        <v>1.3726061623507231E-2</v>
      </c>
    </row>
    <row r="297" spans="5:6" x14ac:dyDescent="0.35">
      <c r="E297" s="13">
        <v>296</v>
      </c>
      <c r="F297" s="12">
        <f t="shared" ca="1" si="6"/>
        <v>3.4732589973931471E-3</v>
      </c>
    </row>
    <row r="298" spans="5:6" x14ac:dyDescent="0.35">
      <c r="E298" s="13">
        <v>297</v>
      </c>
      <c r="F298" s="12">
        <f t="shared" ca="1" si="6"/>
        <v>-2.6570425102757603E-2</v>
      </c>
    </row>
    <row r="299" spans="5:6" x14ac:dyDescent="0.35">
      <c r="E299" s="13">
        <v>298</v>
      </c>
      <c r="F299" s="12">
        <f t="shared" ca="1" si="6"/>
        <v>2.9444352851956289E-3</v>
      </c>
    </row>
    <row r="300" spans="5:6" x14ac:dyDescent="0.35">
      <c r="E300" s="13">
        <v>299</v>
      </c>
      <c r="F300" s="12">
        <f t="shared" ca="1" si="6"/>
        <v>-4.7073529093519771E-4</v>
      </c>
    </row>
    <row r="301" spans="5:6" x14ac:dyDescent="0.35">
      <c r="E301" s="13">
        <v>300</v>
      </c>
      <c r="F301" s="12">
        <f t="shared" ca="1" si="6"/>
        <v>4.171889518760857E-3</v>
      </c>
    </row>
    <row r="302" spans="5:6" x14ac:dyDescent="0.35">
      <c r="E302" s="13">
        <v>301</v>
      </c>
      <c r="F302" s="12">
        <f t="shared" ca="1" si="6"/>
        <v>-1.6495010686891777E-2</v>
      </c>
    </row>
    <row r="303" spans="5:6" x14ac:dyDescent="0.35">
      <c r="E303" s="13">
        <v>302</v>
      </c>
      <c r="F303" s="12">
        <f t="shared" ca="1" si="6"/>
        <v>-1.1871029560846838E-2</v>
      </c>
    </row>
    <row r="304" spans="5:6" x14ac:dyDescent="0.35">
      <c r="E304" s="13">
        <v>303</v>
      </c>
      <c r="F304" s="12">
        <f t="shared" ca="1" si="6"/>
        <v>2.8016820500738806E-2</v>
      </c>
    </row>
    <row r="305" spans="5:6" x14ac:dyDescent="0.35">
      <c r="E305" s="13">
        <v>304</v>
      </c>
      <c r="F305" s="12">
        <f t="shared" ca="1" si="6"/>
        <v>6.9645600555032234E-3</v>
      </c>
    </row>
    <row r="306" spans="5:6" x14ac:dyDescent="0.35">
      <c r="E306" s="13">
        <v>305</v>
      </c>
      <c r="F306" s="12">
        <f t="shared" ca="1" si="6"/>
        <v>1.734958994885187E-3</v>
      </c>
    </row>
    <row r="307" spans="5:6" x14ac:dyDescent="0.35">
      <c r="E307" s="13">
        <v>306</v>
      </c>
      <c r="F307" s="12">
        <f t="shared" ca="1" si="6"/>
        <v>1.0753190556756985E-2</v>
      </c>
    </row>
    <row r="308" spans="5:6" x14ac:dyDescent="0.35">
      <c r="E308" s="13">
        <v>307</v>
      </c>
      <c r="F308" s="12">
        <f t="shared" ca="1" si="6"/>
        <v>3.0353886622796638E-3</v>
      </c>
    </row>
    <row r="309" spans="5:6" x14ac:dyDescent="0.35">
      <c r="E309" s="13">
        <v>308</v>
      </c>
      <c r="F309" s="12">
        <f t="shared" ca="1" si="6"/>
        <v>9.8682406723786548E-3</v>
      </c>
    </row>
    <row r="310" spans="5:6" x14ac:dyDescent="0.35">
      <c r="E310" s="13">
        <v>309</v>
      </c>
      <c r="F310" s="12">
        <f t="shared" ca="1" si="6"/>
        <v>1.1333723802782405E-2</v>
      </c>
    </row>
    <row r="311" spans="5:6" x14ac:dyDescent="0.35">
      <c r="E311" s="13">
        <v>310</v>
      </c>
      <c r="F311" s="12">
        <f t="shared" ca="1" si="6"/>
        <v>-2.2880924142767784E-2</v>
      </c>
    </row>
    <row r="312" spans="5:6" x14ac:dyDescent="0.35">
      <c r="E312" s="13">
        <v>311</v>
      </c>
      <c r="F312" s="12">
        <f t="shared" ca="1" si="6"/>
        <v>2.7437468819897219E-2</v>
      </c>
    </row>
    <row r="313" spans="5:6" x14ac:dyDescent="0.35">
      <c r="E313" s="13">
        <v>312</v>
      </c>
      <c r="F313" s="12">
        <f t="shared" ca="1" si="6"/>
        <v>-1.6481266335636856E-2</v>
      </c>
    </row>
    <row r="314" spans="5:6" x14ac:dyDescent="0.35">
      <c r="E314" s="13">
        <v>313</v>
      </c>
      <c r="F314" s="12">
        <f t="shared" ca="1" si="6"/>
        <v>1.9720210738446854E-2</v>
      </c>
    </row>
    <row r="315" spans="5:6" x14ac:dyDescent="0.35">
      <c r="E315" s="13">
        <v>314</v>
      </c>
      <c r="F315" s="12">
        <f t="shared" ca="1" si="6"/>
        <v>4.5519763782116383E-3</v>
      </c>
    </row>
    <row r="316" spans="5:6" x14ac:dyDescent="0.35">
      <c r="E316" s="13">
        <v>315</v>
      </c>
      <c r="F316" s="12">
        <f t="shared" ca="1" si="6"/>
        <v>-2.9204390239274614E-2</v>
      </c>
    </row>
    <row r="317" spans="5:6" x14ac:dyDescent="0.35">
      <c r="E317" s="13">
        <v>316</v>
      </c>
      <c r="F317" s="12">
        <f t="shared" ca="1" si="6"/>
        <v>3.9628383139779538E-2</v>
      </c>
    </row>
    <row r="318" spans="5:6" x14ac:dyDescent="0.35">
      <c r="E318" s="13">
        <v>317</v>
      </c>
      <c r="F318" s="12">
        <f t="shared" ca="1" si="6"/>
        <v>2.1215234885826211E-3</v>
      </c>
    </row>
    <row r="319" spans="5:6" x14ac:dyDescent="0.35">
      <c r="E319" s="13">
        <v>318</v>
      </c>
      <c r="F319" s="12">
        <f t="shared" ca="1" si="6"/>
        <v>6.014415845709907E-3</v>
      </c>
    </row>
    <row r="320" spans="5:6" x14ac:dyDescent="0.35">
      <c r="E320" s="13">
        <v>319</v>
      </c>
      <c r="F320" s="12">
        <f t="shared" ca="1" si="6"/>
        <v>6.9362200345634891E-3</v>
      </c>
    </row>
    <row r="321" spans="5:6" x14ac:dyDescent="0.35">
      <c r="E321" s="13">
        <v>320</v>
      </c>
      <c r="F321" s="12">
        <f t="shared" ca="1" si="6"/>
        <v>-7.5329411962879629E-3</v>
      </c>
    </row>
    <row r="322" spans="5:6" x14ac:dyDescent="0.35">
      <c r="E322" s="13">
        <v>321</v>
      </c>
      <c r="F322" s="12">
        <f t="shared" ca="1" si="6"/>
        <v>-3.057163456836498E-2</v>
      </c>
    </row>
    <row r="323" spans="5:6" x14ac:dyDescent="0.35">
      <c r="E323" s="13">
        <v>322</v>
      </c>
      <c r="F323" s="12">
        <f t="shared" ref="F323:F386" ca="1" si="7">_xlfn.NORM.INV(RAND(),$I$3,$I$4)</f>
        <v>2.0508444093869638E-2</v>
      </c>
    </row>
    <row r="324" spans="5:6" x14ac:dyDescent="0.35">
      <c r="E324" s="13">
        <v>323</v>
      </c>
      <c r="F324" s="12">
        <f t="shared" ca="1" si="7"/>
        <v>-2.8946040430304243E-2</v>
      </c>
    </row>
    <row r="325" spans="5:6" x14ac:dyDescent="0.35">
      <c r="E325" s="13">
        <v>324</v>
      </c>
      <c r="F325" s="12">
        <f t="shared" ca="1" si="7"/>
        <v>1.5525340767231876E-2</v>
      </c>
    </row>
    <row r="326" spans="5:6" x14ac:dyDescent="0.35">
      <c r="E326" s="13">
        <v>325</v>
      </c>
      <c r="F326" s="12">
        <f t="shared" ca="1" si="7"/>
        <v>1.3344972885273568E-2</v>
      </c>
    </row>
    <row r="327" spans="5:6" x14ac:dyDescent="0.35">
      <c r="E327" s="13">
        <v>326</v>
      </c>
      <c r="F327" s="12">
        <f t="shared" ca="1" si="7"/>
        <v>1.734015318807975E-2</v>
      </c>
    </row>
    <row r="328" spans="5:6" x14ac:dyDescent="0.35">
      <c r="E328" s="13">
        <v>327</v>
      </c>
      <c r="F328" s="12">
        <f t="shared" ca="1" si="7"/>
        <v>-2.2959738701840801E-2</v>
      </c>
    </row>
    <row r="329" spans="5:6" x14ac:dyDescent="0.35">
      <c r="E329" s="13">
        <v>328</v>
      </c>
      <c r="F329" s="12">
        <f t="shared" ca="1" si="7"/>
        <v>1.8175872550294757E-3</v>
      </c>
    </row>
    <row r="330" spans="5:6" x14ac:dyDescent="0.35">
      <c r="E330" s="13">
        <v>329</v>
      </c>
      <c r="F330" s="12">
        <f t="shared" ca="1" si="7"/>
        <v>-2.4056028557860362E-2</v>
      </c>
    </row>
    <row r="331" spans="5:6" x14ac:dyDescent="0.35">
      <c r="E331" s="13">
        <v>330</v>
      </c>
      <c r="F331" s="12">
        <f t="shared" ca="1" si="7"/>
        <v>2.0395817796992129E-2</v>
      </c>
    </row>
    <row r="332" spans="5:6" x14ac:dyDescent="0.35">
      <c r="E332" s="13">
        <v>331</v>
      </c>
      <c r="F332" s="12">
        <f t="shared" ca="1" si="7"/>
        <v>2.3799714047739791E-2</v>
      </c>
    </row>
    <row r="333" spans="5:6" x14ac:dyDescent="0.35">
      <c r="E333" s="13">
        <v>332</v>
      </c>
      <c r="F333" s="12">
        <f t="shared" ca="1" si="7"/>
        <v>1.6849865049259258E-2</v>
      </c>
    </row>
    <row r="334" spans="5:6" x14ac:dyDescent="0.35">
      <c r="E334" s="13">
        <v>333</v>
      </c>
      <c r="F334" s="12">
        <f t="shared" ca="1" si="7"/>
        <v>-1.2715350861381274E-2</v>
      </c>
    </row>
    <row r="335" spans="5:6" x14ac:dyDescent="0.35">
      <c r="E335" s="13">
        <v>334</v>
      </c>
      <c r="F335" s="12">
        <f t="shared" ca="1" si="7"/>
        <v>-2.8173988717624028E-3</v>
      </c>
    </row>
    <row r="336" spans="5:6" x14ac:dyDescent="0.35">
      <c r="E336" s="13">
        <v>335</v>
      </c>
      <c r="F336" s="12">
        <f t="shared" ca="1" si="7"/>
        <v>-1.0805161542933009E-3</v>
      </c>
    </row>
    <row r="337" spans="5:6" x14ac:dyDescent="0.35">
      <c r="E337" s="13">
        <v>336</v>
      </c>
      <c r="F337" s="12">
        <f t="shared" ca="1" si="7"/>
        <v>1.2264747036256921E-2</v>
      </c>
    </row>
    <row r="338" spans="5:6" x14ac:dyDescent="0.35">
      <c r="E338" s="13">
        <v>337</v>
      </c>
      <c r="F338" s="12">
        <f t="shared" ca="1" si="7"/>
        <v>-1.4376916991799691E-2</v>
      </c>
    </row>
    <row r="339" spans="5:6" x14ac:dyDescent="0.35">
      <c r="E339" s="13">
        <v>338</v>
      </c>
      <c r="F339" s="12">
        <f t="shared" ca="1" si="7"/>
        <v>8.3143699347557696E-3</v>
      </c>
    </row>
    <row r="340" spans="5:6" x14ac:dyDescent="0.35">
      <c r="E340" s="13">
        <v>339</v>
      </c>
      <c r="F340" s="12">
        <f t="shared" ca="1" si="7"/>
        <v>1.4018395585596198E-3</v>
      </c>
    </row>
    <row r="341" spans="5:6" x14ac:dyDescent="0.35">
      <c r="E341" s="13">
        <v>340</v>
      </c>
      <c r="F341" s="12">
        <f t="shared" ca="1" si="7"/>
        <v>-1.2054395449530759E-2</v>
      </c>
    </row>
    <row r="342" spans="5:6" x14ac:dyDescent="0.35">
      <c r="E342" s="13">
        <v>341</v>
      </c>
      <c r="F342" s="12">
        <f t="shared" ca="1" si="7"/>
        <v>2.6131642387161617E-3</v>
      </c>
    </row>
    <row r="343" spans="5:6" x14ac:dyDescent="0.35">
      <c r="E343" s="13">
        <v>342</v>
      </c>
      <c r="F343" s="12">
        <f t="shared" ca="1" si="7"/>
        <v>1.1168316343663852E-2</v>
      </c>
    </row>
    <row r="344" spans="5:6" x14ac:dyDescent="0.35">
      <c r="E344" s="13">
        <v>343</v>
      </c>
      <c r="F344" s="12">
        <f t="shared" ca="1" si="7"/>
        <v>1.5152229691191834E-2</v>
      </c>
    </row>
    <row r="345" spans="5:6" x14ac:dyDescent="0.35">
      <c r="E345" s="13">
        <v>344</v>
      </c>
      <c r="F345" s="12">
        <f t="shared" ca="1" si="7"/>
        <v>-6.6785094199360694E-3</v>
      </c>
    </row>
    <row r="346" spans="5:6" x14ac:dyDescent="0.35">
      <c r="E346" s="13">
        <v>345</v>
      </c>
      <c r="F346" s="12">
        <f t="shared" ca="1" si="7"/>
        <v>-2.1545279988076337E-2</v>
      </c>
    </row>
    <row r="347" spans="5:6" x14ac:dyDescent="0.35">
      <c r="E347" s="13">
        <v>346</v>
      </c>
      <c r="F347" s="12">
        <f t="shared" ca="1" si="7"/>
        <v>-1.9282557595429704E-2</v>
      </c>
    </row>
    <row r="348" spans="5:6" x14ac:dyDescent="0.35">
      <c r="E348" s="13">
        <v>347</v>
      </c>
      <c r="F348" s="12">
        <f t="shared" ca="1" si="7"/>
        <v>1.3507073431190529E-2</v>
      </c>
    </row>
    <row r="349" spans="5:6" x14ac:dyDescent="0.35">
      <c r="E349" s="13">
        <v>348</v>
      </c>
      <c r="F349" s="12">
        <f t="shared" ca="1" si="7"/>
        <v>1.1954432393740857E-2</v>
      </c>
    </row>
    <row r="350" spans="5:6" x14ac:dyDescent="0.35">
      <c r="E350" s="13">
        <v>349</v>
      </c>
      <c r="F350" s="12">
        <f t="shared" ca="1" si="7"/>
        <v>-3.9222658602584018E-2</v>
      </c>
    </row>
    <row r="351" spans="5:6" x14ac:dyDescent="0.35">
      <c r="E351" s="13">
        <v>350</v>
      </c>
      <c r="F351" s="12">
        <f t="shared" ca="1" si="7"/>
        <v>1.0084146715703899E-2</v>
      </c>
    </row>
    <row r="352" spans="5:6" x14ac:dyDescent="0.35">
      <c r="E352" s="13">
        <v>351</v>
      </c>
      <c r="F352" s="12">
        <f t="shared" ca="1" si="7"/>
        <v>-2.4369986952565714E-2</v>
      </c>
    </row>
    <row r="353" spans="5:6" x14ac:dyDescent="0.35">
      <c r="E353" s="13">
        <v>352</v>
      </c>
      <c r="F353" s="12">
        <f t="shared" ca="1" si="7"/>
        <v>1.9302753486327352E-2</v>
      </c>
    </row>
    <row r="354" spans="5:6" x14ac:dyDescent="0.35">
      <c r="E354" s="13">
        <v>353</v>
      </c>
      <c r="F354" s="12">
        <f t="shared" ca="1" si="7"/>
        <v>1.2397822189008246E-3</v>
      </c>
    </row>
    <row r="355" spans="5:6" x14ac:dyDescent="0.35">
      <c r="E355" s="13">
        <v>354</v>
      </c>
      <c r="F355" s="12">
        <f t="shared" ca="1" si="7"/>
        <v>2.4198119407324574E-2</v>
      </c>
    </row>
    <row r="356" spans="5:6" x14ac:dyDescent="0.35">
      <c r="E356" s="13">
        <v>355</v>
      </c>
      <c r="F356" s="12">
        <f t="shared" ca="1" si="7"/>
        <v>-1.5852381861826341E-3</v>
      </c>
    </row>
    <row r="357" spans="5:6" x14ac:dyDescent="0.35">
      <c r="E357" s="13">
        <v>356</v>
      </c>
      <c r="F357" s="12">
        <f t="shared" ca="1" si="7"/>
        <v>7.0360975096726199E-3</v>
      </c>
    </row>
    <row r="358" spans="5:6" x14ac:dyDescent="0.35">
      <c r="E358" s="13">
        <v>357</v>
      </c>
      <c r="F358" s="12">
        <f t="shared" ca="1" si="7"/>
        <v>1.0046529171680184E-2</v>
      </c>
    </row>
    <row r="359" spans="5:6" x14ac:dyDescent="0.35">
      <c r="E359" s="13">
        <v>358</v>
      </c>
      <c r="F359" s="12">
        <f t="shared" ca="1" si="7"/>
        <v>-8.1683187305457428E-3</v>
      </c>
    </row>
    <row r="360" spans="5:6" x14ac:dyDescent="0.35">
      <c r="E360" s="13">
        <v>359</v>
      </c>
      <c r="F360" s="12">
        <f t="shared" ca="1" si="7"/>
        <v>9.5685226545503162E-3</v>
      </c>
    </row>
    <row r="361" spans="5:6" x14ac:dyDescent="0.35">
      <c r="E361" s="13">
        <v>360</v>
      </c>
      <c r="F361" s="12">
        <f t="shared" ca="1" si="7"/>
        <v>-1.640238050988696E-2</v>
      </c>
    </row>
    <row r="362" spans="5:6" x14ac:dyDescent="0.35">
      <c r="E362" s="13">
        <v>361</v>
      </c>
      <c r="F362" s="12">
        <f t="shared" ca="1" si="7"/>
        <v>-2.0970763255580765E-2</v>
      </c>
    </row>
    <row r="363" spans="5:6" x14ac:dyDescent="0.35">
      <c r="E363" s="13">
        <v>362</v>
      </c>
      <c r="F363" s="12">
        <f t="shared" ca="1" si="7"/>
        <v>1.2267779482401915E-2</v>
      </c>
    </row>
    <row r="364" spans="5:6" x14ac:dyDescent="0.35">
      <c r="E364" s="13">
        <v>363</v>
      </c>
      <c r="F364" s="12">
        <f t="shared" ca="1" si="7"/>
        <v>-5.8068697276768076E-2</v>
      </c>
    </row>
    <row r="365" spans="5:6" x14ac:dyDescent="0.35">
      <c r="E365" s="13">
        <v>364</v>
      </c>
      <c r="F365" s="12">
        <f t="shared" ca="1" si="7"/>
        <v>2.417262485502298E-3</v>
      </c>
    </row>
    <row r="366" spans="5:6" x14ac:dyDescent="0.35">
      <c r="E366" s="13">
        <v>365</v>
      </c>
      <c r="F366" s="12">
        <f t="shared" ca="1" si="7"/>
        <v>2.5685473495603111E-2</v>
      </c>
    </row>
    <row r="367" spans="5:6" x14ac:dyDescent="0.35">
      <c r="E367" s="13">
        <v>366</v>
      </c>
      <c r="F367" s="12">
        <f t="shared" ca="1" si="7"/>
        <v>1.220937970751118E-3</v>
      </c>
    </row>
    <row r="368" spans="5:6" x14ac:dyDescent="0.35">
      <c r="E368" s="13">
        <v>367</v>
      </c>
      <c r="F368" s="12">
        <f t="shared" ca="1" si="7"/>
        <v>-5.5254439182981403E-3</v>
      </c>
    </row>
    <row r="369" spans="5:6" x14ac:dyDescent="0.35">
      <c r="E369" s="13">
        <v>368</v>
      </c>
      <c r="F369" s="12">
        <f t="shared" ca="1" si="7"/>
        <v>7.6007032408270791E-3</v>
      </c>
    </row>
    <row r="370" spans="5:6" x14ac:dyDescent="0.35">
      <c r="E370" s="13">
        <v>369</v>
      </c>
      <c r="F370" s="12">
        <f t="shared" ca="1" si="7"/>
        <v>-1.2452257622204853E-2</v>
      </c>
    </row>
    <row r="371" spans="5:6" x14ac:dyDescent="0.35">
      <c r="E371" s="13">
        <v>370</v>
      </c>
      <c r="F371" s="12">
        <f t="shared" ca="1" si="7"/>
        <v>-3.8342448590062152E-3</v>
      </c>
    </row>
    <row r="372" spans="5:6" x14ac:dyDescent="0.35">
      <c r="E372" s="13">
        <v>371</v>
      </c>
      <c r="F372" s="12">
        <f t="shared" ca="1" si="7"/>
        <v>-8.8756519293687539E-3</v>
      </c>
    </row>
    <row r="373" spans="5:6" x14ac:dyDescent="0.35">
      <c r="E373" s="13">
        <v>372</v>
      </c>
      <c r="F373" s="12">
        <f t="shared" ca="1" si="7"/>
        <v>2.6382237653017459E-2</v>
      </c>
    </row>
    <row r="374" spans="5:6" x14ac:dyDescent="0.35">
      <c r="E374" s="13">
        <v>373</v>
      </c>
      <c r="F374" s="12">
        <f t="shared" ca="1" si="7"/>
        <v>-8.8022910689693618E-3</v>
      </c>
    </row>
    <row r="375" spans="5:6" x14ac:dyDescent="0.35">
      <c r="E375" s="13">
        <v>374</v>
      </c>
      <c r="F375" s="12">
        <f t="shared" ca="1" si="7"/>
        <v>9.6009671272097672E-3</v>
      </c>
    </row>
    <row r="376" spans="5:6" x14ac:dyDescent="0.35">
      <c r="E376" s="13">
        <v>375</v>
      </c>
      <c r="F376" s="12">
        <f t="shared" ca="1" si="7"/>
        <v>4.8769543828986665E-4</v>
      </c>
    </row>
    <row r="377" spans="5:6" x14ac:dyDescent="0.35">
      <c r="E377" s="13">
        <v>376</v>
      </c>
      <c r="F377" s="12">
        <f t="shared" ca="1" si="7"/>
        <v>-6.0070812838422111E-3</v>
      </c>
    </row>
    <row r="378" spans="5:6" x14ac:dyDescent="0.35">
      <c r="E378" s="13">
        <v>377</v>
      </c>
      <c r="F378" s="12">
        <f t="shared" ca="1" si="7"/>
        <v>-9.9886622296085931E-3</v>
      </c>
    </row>
    <row r="379" spans="5:6" x14ac:dyDescent="0.35">
      <c r="E379" s="13">
        <v>378</v>
      </c>
      <c r="F379" s="12">
        <f t="shared" ca="1" si="7"/>
        <v>-4.4808254457350434E-3</v>
      </c>
    </row>
    <row r="380" spans="5:6" x14ac:dyDescent="0.35">
      <c r="E380" s="13">
        <v>379</v>
      </c>
      <c r="F380" s="12">
        <f t="shared" ca="1" si="7"/>
        <v>-6.4825959675347145E-3</v>
      </c>
    </row>
    <row r="381" spans="5:6" x14ac:dyDescent="0.35">
      <c r="E381" s="13">
        <v>380</v>
      </c>
      <c r="F381" s="12">
        <f t="shared" ca="1" si="7"/>
        <v>-2.2371799335578604E-2</v>
      </c>
    </row>
    <row r="382" spans="5:6" x14ac:dyDescent="0.35">
      <c r="E382" s="13">
        <v>381</v>
      </c>
      <c r="F382" s="12">
        <f t="shared" ca="1" si="7"/>
        <v>-2.4735425617027514E-2</v>
      </c>
    </row>
    <row r="383" spans="5:6" x14ac:dyDescent="0.35">
      <c r="E383" s="13">
        <v>382</v>
      </c>
      <c r="F383" s="12">
        <f t="shared" ca="1" si="7"/>
        <v>1.571699629475784E-2</v>
      </c>
    </row>
    <row r="384" spans="5:6" x14ac:dyDescent="0.35">
      <c r="E384" s="13">
        <v>383</v>
      </c>
      <c r="F384" s="12">
        <f t="shared" ca="1" si="7"/>
        <v>-7.4450049103254312E-3</v>
      </c>
    </row>
    <row r="385" spans="5:6" x14ac:dyDescent="0.35">
      <c r="E385" s="13">
        <v>384</v>
      </c>
      <c r="F385" s="12">
        <f t="shared" ca="1" si="7"/>
        <v>1.3833612342378915E-2</v>
      </c>
    </row>
    <row r="386" spans="5:6" x14ac:dyDescent="0.35">
      <c r="E386" s="13">
        <v>385</v>
      </c>
      <c r="F386" s="12">
        <f t="shared" ca="1" si="7"/>
        <v>-5.3065132178228003E-3</v>
      </c>
    </row>
    <row r="387" spans="5:6" x14ac:dyDescent="0.35">
      <c r="E387" s="13">
        <v>386</v>
      </c>
      <c r="F387" s="12">
        <f t="shared" ref="F387:F450" ca="1" si="8">_xlfn.NORM.INV(RAND(),$I$3,$I$4)</f>
        <v>2.0382738500876539E-2</v>
      </c>
    </row>
    <row r="388" spans="5:6" x14ac:dyDescent="0.35">
      <c r="E388" s="13">
        <v>387</v>
      </c>
      <c r="F388" s="12">
        <f t="shared" ca="1" si="8"/>
        <v>5.8433645478297973E-3</v>
      </c>
    </row>
    <row r="389" spans="5:6" x14ac:dyDescent="0.35">
      <c r="E389" s="13">
        <v>388</v>
      </c>
      <c r="F389" s="12">
        <f t="shared" ca="1" si="8"/>
        <v>-1.2380740353182389E-2</v>
      </c>
    </row>
    <row r="390" spans="5:6" x14ac:dyDescent="0.35">
      <c r="E390" s="13">
        <v>389</v>
      </c>
      <c r="F390" s="12">
        <f t="shared" ca="1" si="8"/>
        <v>-1.5568105986007021E-2</v>
      </c>
    </row>
    <row r="391" spans="5:6" x14ac:dyDescent="0.35">
      <c r="E391" s="13">
        <v>390</v>
      </c>
      <c r="F391" s="12">
        <f t="shared" ca="1" si="8"/>
        <v>8.4784493719649422E-3</v>
      </c>
    </row>
    <row r="392" spans="5:6" x14ac:dyDescent="0.35">
      <c r="E392" s="13">
        <v>391</v>
      </c>
      <c r="F392" s="12">
        <f t="shared" ca="1" si="8"/>
        <v>8.5702307134938045E-4</v>
      </c>
    </row>
    <row r="393" spans="5:6" x14ac:dyDescent="0.35">
      <c r="E393" s="13">
        <v>392</v>
      </c>
      <c r="F393" s="12">
        <f t="shared" ca="1" si="8"/>
        <v>-1.5110099901878251E-2</v>
      </c>
    </row>
    <row r="394" spans="5:6" x14ac:dyDescent="0.35">
      <c r="E394" s="13">
        <v>393</v>
      </c>
      <c r="F394" s="12">
        <f t="shared" ca="1" si="8"/>
        <v>1.266063422989747E-3</v>
      </c>
    </row>
    <row r="395" spans="5:6" x14ac:dyDescent="0.35">
      <c r="E395" s="13">
        <v>394</v>
      </c>
      <c r="F395" s="12">
        <f t="shared" ca="1" si="8"/>
        <v>3.5752465518854161E-3</v>
      </c>
    </row>
    <row r="396" spans="5:6" x14ac:dyDescent="0.35">
      <c r="E396" s="13">
        <v>395</v>
      </c>
      <c r="F396" s="12">
        <f t="shared" ca="1" si="8"/>
        <v>-1.2097057318401959E-2</v>
      </c>
    </row>
    <row r="397" spans="5:6" x14ac:dyDescent="0.35">
      <c r="E397" s="13">
        <v>396</v>
      </c>
      <c r="F397" s="12">
        <f t="shared" ca="1" si="8"/>
        <v>-2.8914777868320037E-2</v>
      </c>
    </row>
    <row r="398" spans="5:6" x14ac:dyDescent="0.35">
      <c r="E398" s="13">
        <v>397</v>
      </c>
      <c r="F398" s="12">
        <f t="shared" ca="1" si="8"/>
        <v>3.9266165175529034E-2</v>
      </c>
    </row>
    <row r="399" spans="5:6" x14ac:dyDescent="0.35">
      <c r="E399" s="13">
        <v>398</v>
      </c>
      <c r="F399" s="12">
        <f t="shared" ca="1" si="8"/>
        <v>1.8858625648963328E-2</v>
      </c>
    </row>
    <row r="400" spans="5:6" x14ac:dyDescent="0.35">
      <c r="E400" s="13">
        <v>399</v>
      </c>
      <c r="F400" s="12">
        <f t="shared" ca="1" si="8"/>
        <v>-9.064256821326425E-3</v>
      </c>
    </row>
    <row r="401" spans="5:6" x14ac:dyDescent="0.35">
      <c r="E401" s="13">
        <v>400</v>
      </c>
      <c r="F401" s="12">
        <f t="shared" ca="1" si="8"/>
        <v>3.7202515083673282E-2</v>
      </c>
    </row>
    <row r="402" spans="5:6" x14ac:dyDescent="0.35">
      <c r="E402" s="13">
        <v>401</v>
      </c>
      <c r="F402" s="12">
        <f t="shared" ca="1" si="8"/>
        <v>2.104925856959889E-3</v>
      </c>
    </row>
    <row r="403" spans="5:6" x14ac:dyDescent="0.35">
      <c r="E403" s="13">
        <v>402</v>
      </c>
      <c r="F403" s="12">
        <f t="shared" ca="1" si="8"/>
        <v>-7.8231667837840736E-3</v>
      </c>
    </row>
    <row r="404" spans="5:6" x14ac:dyDescent="0.35">
      <c r="E404" s="13">
        <v>403</v>
      </c>
      <c r="F404" s="12">
        <f t="shared" ca="1" si="8"/>
        <v>3.3485640141240745E-2</v>
      </c>
    </row>
    <row r="405" spans="5:6" x14ac:dyDescent="0.35">
      <c r="E405" s="13">
        <v>404</v>
      </c>
      <c r="F405" s="12">
        <f t="shared" ca="1" si="8"/>
        <v>5.8087316653792857E-3</v>
      </c>
    </row>
    <row r="406" spans="5:6" x14ac:dyDescent="0.35">
      <c r="E406" s="13">
        <v>405</v>
      </c>
      <c r="F406" s="12">
        <f t="shared" ca="1" si="8"/>
        <v>-3.8865331074383453E-3</v>
      </c>
    </row>
    <row r="407" spans="5:6" x14ac:dyDescent="0.35">
      <c r="E407" s="13">
        <v>406</v>
      </c>
      <c r="F407" s="12">
        <f t="shared" ca="1" si="8"/>
        <v>3.9413303723255053E-3</v>
      </c>
    </row>
    <row r="408" spans="5:6" x14ac:dyDescent="0.35">
      <c r="E408" s="13">
        <v>407</v>
      </c>
      <c r="F408" s="12">
        <f t="shared" ca="1" si="8"/>
        <v>-4.0204761139586431E-3</v>
      </c>
    </row>
    <row r="409" spans="5:6" x14ac:dyDescent="0.35">
      <c r="E409" s="13">
        <v>408</v>
      </c>
      <c r="F409" s="12">
        <f t="shared" ca="1" si="8"/>
        <v>1.6880885761455154E-2</v>
      </c>
    </row>
    <row r="410" spans="5:6" x14ac:dyDescent="0.35">
      <c r="E410" s="13">
        <v>409</v>
      </c>
      <c r="F410" s="12">
        <f t="shared" ca="1" si="8"/>
        <v>5.7400105271936709E-3</v>
      </c>
    </row>
    <row r="411" spans="5:6" x14ac:dyDescent="0.35">
      <c r="E411" s="13">
        <v>410</v>
      </c>
      <c r="F411" s="12">
        <f t="shared" ca="1" si="8"/>
        <v>-1.0158937932838551E-2</v>
      </c>
    </row>
    <row r="412" spans="5:6" x14ac:dyDescent="0.35">
      <c r="E412" s="13">
        <v>411</v>
      </c>
      <c r="F412" s="12">
        <f t="shared" ca="1" si="8"/>
        <v>3.7065017168940412E-3</v>
      </c>
    </row>
    <row r="413" spans="5:6" x14ac:dyDescent="0.35">
      <c r="E413" s="13">
        <v>412</v>
      </c>
      <c r="F413" s="12">
        <f t="shared" ca="1" si="8"/>
        <v>-1.8272712464442089E-2</v>
      </c>
    </row>
    <row r="414" spans="5:6" x14ac:dyDescent="0.35">
      <c r="E414" s="13">
        <v>413</v>
      </c>
      <c r="F414" s="12">
        <f t="shared" ca="1" si="8"/>
        <v>3.4345110413655053E-2</v>
      </c>
    </row>
    <row r="415" spans="5:6" x14ac:dyDescent="0.35">
      <c r="E415" s="13">
        <v>414</v>
      </c>
      <c r="F415" s="12">
        <f t="shared" ca="1" si="8"/>
        <v>-1.9320777206379276E-2</v>
      </c>
    </row>
    <row r="416" spans="5:6" x14ac:dyDescent="0.35">
      <c r="E416" s="13">
        <v>415</v>
      </c>
      <c r="F416" s="12">
        <f t="shared" ca="1" si="8"/>
        <v>-4.4033396799633209E-3</v>
      </c>
    </row>
    <row r="417" spans="5:6" x14ac:dyDescent="0.35">
      <c r="E417" s="13">
        <v>416</v>
      </c>
      <c r="F417" s="12">
        <f t="shared" ca="1" si="8"/>
        <v>2.2183242812993845E-2</v>
      </c>
    </row>
    <row r="418" spans="5:6" x14ac:dyDescent="0.35">
      <c r="E418" s="13">
        <v>417</v>
      </c>
      <c r="F418" s="12">
        <f t="shared" ca="1" si="8"/>
        <v>1.1315831305255012E-2</v>
      </c>
    </row>
    <row r="419" spans="5:6" x14ac:dyDescent="0.35">
      <c r="E419" s="13">
        <v>418</v>
      </c>
      <c r="F419" s="12">
        <f t="shared" ca="1" si="8"/>
        <v>-7.5052187540487741E-3</v>
      </c>
    </row>
    <row r="420" spans="5:6" x14ac:dyDescent="0.35">
      <c r="E420" s="13">
        <v>419</v>
      </c>
      <c r="F420" s="12">
        <f t="shared" ca="1" si="8"/>
        <v>-1.808589202543685E-2</v>
      </c>
    </row>
    <row r="421" spans="5:6" x14ac:dyDescent="0.35">
      <c r="E421" s="13">
        <v>420</v>
      </c>
      <c r="F421" s="12">
        <f t="shared" ca="1" si="8"/>
        <v>-8.1289934271020024E-3</v>
      </c>
    </row>
    <row r="422" spans="5:6" x14ac:dyDescent="0.35">
      <c r="E422" s="13">
        <v>421</v>
      </c>
      <c r="F422" s="12">
        <f t="shared" ca="1" si="8"/>
        <v>2.2511830213548949E-2</v>
      </c>
    </row>
    <row r="423" spans="5:6" x14ac:dyDescent="0.35">
      <c r="E423" s="13">
        <v>422</v>
      </c>
      <c r="F423" s="12">
        <f t="shared" ca="1" si="8"/>
        <v>2.706276351523465E-2</v>
      </c>
    </row>
    <row r="424" spans="5:6" x14ac:dyDescent="0.35">
      <c r="E424" s="13">
        <v>423</v>
      </c>
      <c r="F424" s="12">
        <f t="shared" ca="1" si="8"/>
        <v>1.8358992759618695E-3</v>
      </c>
    </row>
    <row r="425" spans="5:6" x14ac:dyDescent="0.35">
      <c r="E425" s="13">
        <v>424</v>
      </c>
      <c r="F425" s="12">
        <f t="shared" ca="1" si="8"/>
        <v>1.4861521044241119E-3</v>
      </c>
    </row>
    <row r="426" spans="5:6" x14ac:dyDescent="0.35">
      <c r="E426" s="13">
        <v>425</v>
      </c>
      <c r="F426" s="12">
        <f t="shared" ca="1" si="8"/>
        <v>1.8876877327163616E-2</v>
      </c>
    </row>
    <row r="427" spans="5:6" x14ac:dyDescent="0.35">
      <c r="E427" s="13">
        <v>426</v>
      </c>
      <c r="F427" s="12">
        <f t="shared" ca="1" si="8"/>
        <v>1.6449126171935009E-2</v>
      </c>
    </row>
    <row r="428" spans="5:6" x14ac:dyDescent="0.35">
      <c r="E428" s="13">
        <v>427</v>
      </c>
      <c r="F428" s="12">
        <f t="shared" ca="1" si="8"/>
        <v>1.9852907469362021E-2</v>
      </c>
    </row>
    <row r="429" spans="5:6" x14ac:dyDescent="0.35">
      <c r="E429" s="13">
        <v>428</v>
      </c>
      <c r="F429" s="12">
        <f t="shared" ca="1" si="8"/>
        <v>4.0843939849480541E-3</v>
      </c>
    </row>
    <row r="430" spans="5:6" x14ac:dyDescent="0.35">
      <c r="E430" s="13">
        <v>429</v>
      </c>
      <c r="F430" s="12">
        <f t="shared" ca="1" si="8"/>
        <v>-2.1137805266261977E-2</v>
      </c>
    </row>
    <row r="431" spans="5:6" x14ac:dyDescent="0.35">
      <c r="E431" s="13">
        <v>430</v>
      </c>
      <c r="F431" s="12">
        <f t="shared" ca="1" si="8"/>
        <v>4.1936411044629793E-2</v>
      </c>
    </row>
    <row r="432" spans="5:6" x14ac:dyDescent="0.35">
      <c r="E432" s="13">
        <v>431</v>
      </c>
      <c r="F432" s="12">
        <f t="shared" ca="1" si="8"/>
        <v>1.3589005507982012E-2</v>
      </c>
    </row>
    <row r="433" spans="5:6" x14ac:dyDescent="0.35">
      <c r="E433" s="13">
        <v>432</v>
      </c>
      <c r="F433" s="12">
        <f t="shared" ca="1" si="8"/>
        <v>-2.3355563300846437E-2</v>
      </c>
    </row>
    <row r="434" spans="5:6" x14ac:dyDescent="0.35">
      <c r="E434" s="13">
        <v>433</v>
      </c>
      <c r="F434" s="12">
        <f t="shared" ca="1" si="8"/>
        <v>2.4766348324227489E-2</v>
      </c>
    </row>
    <row r="435" spans="5:6" x14ac:dyDescent="0.35">
      <c r="E435" s="13">
        <v>434</v>
      </c>
      <c r="F435" s="12">
        <f t="shared" ca="1" si="8"/>
        <v>3.6897837616036424E-3</v>
      </c>
    </row>
    <row r="436" spans="5:6" x14ac:dyDescent="0.35">
      <c r="E436" s="13">
        <v>435</v>
      </c>
      <c r="F436" s="12">
        <f t="shared" ca="1" si="8"/>
        <v>-3.4194414062619955E-3</v>
      </c>
    </row>
    <row r="437" spans="5:6" x14ac:dyDescent="0.35">
      <c r="E437" s="13">
        <v>436</v>
      </c>
      <c r="F437" s="12">
        <f t="shared" ca="1" si="8"/>
        <v>8.3697345590099514E-3</v>
      </c>
    </row>
    <row r="438" spans="5:6" x14ac:dyDescent="0.35">
      <c r="E438" s="13">
        <v>437</v>
      </c>
      <c r="F438" s="12">
        <f t="shared" ca="1" si="8"/>
        <v>2.6796508948315263E-2</v>
      </c>
    </row>
    <row r="439" spans="5:6" x14ac:dyDescent="0.35">
      <c r="E439" s="13">
        <v>438</v>
      </c>
      <c r="F439" s="12">
        <f t="shared" ca="1" si="8"/>
        <v>9.7123723342980896E-3</v>
      </c>
    </row>
    <row r="440" spans="5:6" x14ac:dyDescent="0.35">
      <c r="E440" s="13">
        <v>439</v>
      </c>
      <c r="F440" s="12">
        <f t="shared" ca="1" si="8"/>
        <v>2.3825095434833595E-3</v>
      </c>
    </row>
    <row r="441" spans="5:6" x14ac:dyDescent="0.35">
      <c r="E441" s="13">
        <v>440</v>
      </c>
      <c r="F441" s="12">
        <f t="shared" ca="1" si="8"/>
        <v>-1.9785011706422079E-2</v>
      </c>
    </row>
    <row r="442" spans="5:6" x14ac:dyDescent="0.35">
      <c r="E442" s="13">
        <v>441</v>
      </c>
      <c r="F442" s="12">
        <f t="shared" ca="1" si="8"/>
        <v>-6.3851512982147536E-3</v>
      </c>
    </row>
    <row r="443" spans="5:6" x14ac:dyDescent="0.35">
      <c r="E443" s="13">
        <v>442</v>
      </c>
      <c r="F443" s="12">
        <f t="shared" ca="1" si="8"/>
        <v>-4.8915316890802401E-3</v>
      </c>
    </row>
    <row r="444" spans="5:6" x14ac:dyDescent="0.35">
      <c r="E444" s="13">
        <v>443</v>
      </c>
      <c r="F444" s="12">
        <f t="shared" ca="1" si="8"/>
        <v>-2.6929094185726339E-3</v>
      </c>
    </row>
    <row r="445" spans="5:6" x14ac:dyDescent="0.35">
      <c r="E445" s="13">
        <v>444</v>
      </c>
      <c r="F445" s="12">
        <f t="shared" ca="1" si="8"/>
        <v>-2.6836324120767349E-2</v>
      </c>
    </row>
    <row r="446" spans="5:6" x14ac:dyDescent="0.35">
      <c r="E446" s="13">
        <v>445</v>
      </c>
      <c r="F446" s="12">
        <f t="shared" ca="1" si="8"/>
        <v>2.6101674514428753E-3</v>
      </c>
    </row>
    <row r="447" spans="5:6" x14ac:dyDescent="0.35">
      <c r="E447" s="13">
        <v>446</v>
      </c>
      <c r="F447" s="12">
        <f t="shared" ca="1" si="8"/>
        <v>-3.5645496629123255E-4</v>
      </c>
    </row>
    <row r="448" spans="5:6" x14ac:dyDescent="0.35">
      <c r="E448" s="13">
        <v>447</v>
      </c>
      <c r="F448" s="12">
        <f t="shared" ca="1" si="8"/>
        <v>2.2033694384760841E-2</v>
      </c>
    </row>
    <row r="449" spans="5:6" x14ac:dyDescent="0.35">
      <c r="E449" s="13">
        <v>448</v>
      </c>
      <c r="F449" s="12">
        <f t="shared" ca="1" si="8"/>
        <v>3.0424434160142934E-2</v>
      </c>
    </row>
    <row r="450" spans="5:6" x14ac:dyDescent="0.35">
      <c r="E450" s="13">
        <v>449</v>
      </c>
      <c r="F450" s="12">
        <f t="shared" ca="1" si="8"/>
        <v>-3.3969882109433905E-4</v>
      </c>
    </row>
    <row r="451" spans="5:6" x14ac:dyDescent="0.35">
      <c r="E451" s="13">
        <v>450</v>
      </c>
      <c r="F451" s="12">
        <f t="shared" ref="F451:F514" ca="1" si="9">_xlfn.NORM.INV(RAND(),$I$3,$I$4)</f>
        <v>2.991989659800201E-2</v>
      </c>
    </row>
    <row r="452" spans="5:6" x14ac:dyDescent="0.35">
      <c r="E452" s="13">
        <v>451</v>
      </c>
      <c r="F452" s="12">
        <f t="shared" ca="1" si="9"/>
        <v>-1.0109229012843918E-2</v>
      </c>
    </row>
    <row r="453" spans="5:6" x14ac:dyDescent="0.35">
      <c r="E453" s="13">
        <v>452</v>
      </c>
      <c r="F453" s="12">
        <f t="shared" ca="1" si="9"/>
        <v>1.0930961906029055E-2</v>
      </c>
    </row>
    <row r="454" spans="5:6" x14ac:dyDescent="0.35">
      <c r="E454" s="13">
        <v>453</v>
      </c>
      <c r="F454" s="12">
        <f t="shared" ca="1" si="9"/>
        <v>4.9288744425447766E-3</v>
      </c>
    </row>
    <row r="455" spans="5:6" x14ac:dyDescent="0.35">
      <c r="E455" s="13">
        <v>454</v>
      </c>
      <c r="F455" s="12">
        <f t="shared" ca="1" si="9"/>
        <v>-2.1508886239825931E-2</v>
      </c>
    </row>
    <row r="456" spans="5:6" x14ac:dyDescent="0.35">
      <c r="E456" s="13">
        <v>455</v>
      </c>
      <c r="F456" s="12">
        <f t="shared" ca="1" si="9"/>
        <v>8.1243038346095111E-3</v>
      </c>
    </row>
    <row r="457" spans="5:6" x14ac:dyDescent="0.35">
      <c r="E457" s="13">
        <v>456</v>
      </c>
      <c r="F457" s="12">
        <f t="shared" ca="1" si="9"/>
        <v>-2.9804639337738113E-3</v>
      </c>
    </row>
    <row r="458" spans="5:6" x14ac:dyDescent="0.35">
      <c r="E458" s="13">
        <v>457</v>
      </c>
      <c r="F458" s="12">
        <f t="shared" ca="1" si="9"/>
        <v>-2.0065126411495344E-2</v>
      </c>
    </row>
    <row r="459" spans="5:6" x14ac:dyDescent="0.35">
      <c r="E459" s="13">
        <v>458</v>
      </c>
      <c r="F459" s="12">
        <f t="shared" ca="1" si="9"/>
        <v>4.4980664316614429E-3</v>
      </c>
    </row>
    <row r="460" spans="5:6" x14ac:dyDescent="0.35">
      <c r="E460" s="13">
        <v>459</v>
      </c>
      <c r="F460" s="12">
        <f t="shared" ca="1" si="9"/>
        <v>-7.8146588417948738E-3</v>
      </c>
    </row>
    <row r="461" spans="5:6" x14ac:dyDescent="0.35">
      <c r="E461" s="13">
        <v>460</v>
      </c>
      <c r="F461" s="12">
        <f t="shared" ca="1" si="9"/>
        <v>1.0374934521147697E-3</v>
      </c>
    </row>
    <row r="462" spans="5:6" x14ac:dyDescent="0.35">
      <c r="E462" s="13">
        <v>461</v>
      </c>
      <c r="F462" s="12">
        <f t="shared" ca="1" si="9"/>
        <v>-2.0344143400133654E-2</v>
      </c>
    </row>
    <row r="463" spans="5:6" x14ac:dyDescent="0.35">
      <c r="E463" s="13">
        <v>462</v>
      </c>
      <c r="F463" s="12">
        <f t="shared" ca="1" si="9"/>
        <v>7.4479572546646364E-3</v>
      </c>
    </row>
    <row r="464" spans="5:6" x14ac:dyDescent="0.35">
      <c r="E464" s="13">
        <v>463</v>
      </c>
      <c r="F464" s="12">
        <f t="shared" ca="1" si="9"/>
        <v>1.8973323927680287E-2</v>
      </c>
    </row>
    <row r="465" spans="5:6" x14ac:dyDescent="0.35">
      <c r="E465" s="13">
        <v>464</v>
      </c>
      <c r="F465" s="12">
        <f t="shared" ca="1" si="9"/>
        <v>2.3737689441085123E-3</v>
      </c>
    </row>
    <row r="466" spans="5:6" x14ac:dyDescent="0.35">
      <c r="E466" s="13">
        <v>465</v>
      </c>
      <c r="F466" s="12">
        <f t="shared" ca="1" si="9"/>
        <v>-3.3666962356609625E-2</v>
      </c>
    </row>
    <row r="467" spans="5:6" x14ac:dyDescent="0.35">
      <c r="E467" s="13">
        <v>466</v>
      </c>
      <c r="F467" s="12">
        <f t="shared" ca="1" si="9"/>
        <v>3.0012335789204522E-2</v>
      </c>
    </row>
    <row r="468" spans="5:6" x14ac:dyDescent="0.35">
      <c r="E468" s="13">
        <v>467</v>
      </c>
      <c r="F468" s="12">
        <f t="shared" ca="1" si="9"/>
        <v>1.9332119730614782E-2</v>
      </c>
    </row>
    <row r="469" spans="5:6" x14ac:dyDescent="0.35">
      <c r="E469" s="13">
        <v>468</v>
      </c>
      <c r="F469" s="12">
        <f t="shared" ca="1" si="9"/>
        <v>-1.8466790117807486E-3</v>
      </c>
    </row>
    <row r="470" spans="5:6" x14ac:dyDescent="0.35">
      <c r="E470" s="13">
        <v>469</v>
      </c>
      <c r="F470" s="12">
        <f t="shared" ca="1" si="9"/>
        <v>2.5424422437672376E-2</v>
      </c>
    </row>
    <row r="471" spans="5:6" x14ac:dyDescent="0.35">
      <c r="E471" s="13">
        <v>470</v>
      </c>
      <c r="F471" s="12">
        <f t="shared" ca="1" si="9"/>
        <v>4.3370366952186334E-3</v>
      </c>
    </row>
    <row r="472" spans="5:6" x14ac:dyDescent="0.35">
      <c r="E472" s="13">
        <v>471</v>
      </c>
      <c r="F472" s="12">
        <f t="shared" ca="1" si="9"/>
        <v>-9.8975023149912075E-3</v>
      </c>
    </row>
    <row r="473" spans="5:6" x14ac:dyDescent="0.35">
      <c r="E473" s="13">
        <v>472</v>
      </c>
      <c r="F473" s="12">
        <f t="shared" ca="1" si="9"/>
        <v>-1.5987276902747889E-2</v>
      </c>
    </row>
    <row r="474" spans="5:6" x14ac:dyDescent="0.35">
      <c r="E474" s="13">
        <v>473</v>
      </c>
      <c r="F474" s="12">
        <f t="shared" ca="1" si="9"/>
        <v>-2.4086635846569959E-2</v>
      </c>
    </row>
    <row r="475" spans="5:6" x14ac:dyDescent="0.35">
      <c r="E475" s="13">
        <v>474</v>
      </c>
      <c r="F475" s="12">
        <f t="shared" ca="1" si="9"/>
        <v>3.6298998929560788E-2</v>
      </c>
    </row>
    <row r="476" spans="5:6" x14ac:dyDescent="0.35">
      <c r="E476" s="13">
        <v>475</v>
      </c>
      <c r="F476" s="12">
        <f t="shared" ca="1" si="9"/>
        <v>-2.5945412854480397E-2</v>
      </c>
    </row>
    <row r="477" spans="5:6" x14ac:dyDescent="0.35">
      <c r="E477" s="13">
        <v>476</v>
      </c>
      <c r="F477" s="12">
        <f t="shared" ca="1" si="9"/>
        <v>-1.3881656652955852E-2</v>
      </c>
    </row>
    <row r="478" spans="5:6" x14ac:dyDescent="0.35">
      <c r="E478" s="13">
        <v>477</v>
      </c>
      <c r="F478" s="12">
        <f t="shared" ca="1" si="9"/>
        <v>3.7847084430152082E-3</v>
      </c>
    </row>
    <row r="479" spans="5:6" x14ac:dyDescent="0.35">
      <c r="E479" s="13">
        <v>478</v>
      </c>
      <c r="F479" s="12">
        <f t="shared" ca="1" si="9"/>
        <v>5.0718856183681604E-3</v>
      </c>
    </row>
    <row r="480" spans="5:6" x14ac:dyDescent="0.35">
      <c r="E480" s="13">
        <v>479</v>
      </c>
      <c r="F480" s="12">
        <f t="shared" ca="1" si="9"/>
        <v>-1.7171328963395609E-2</v>
      </c>
    </row>
    <row r="481" spans="5:6" x14ac:dyDescent="0.35">
      <c r="E481" s="13">
        <v>480</v>
      </c>
      <c r="F481" s="12">
        <f t="shared" ca="1" si="9"/>
        <v>1.9219785228200382E-2</v>
      </c>
    </row>
    <row r="482" spans="5:6" x14ac:dyDescent="0.35">
      <c r="E482" s="13">
        <v>481</v>
      </c>
      <c r="F482" s="12">
        <f t="shared" ca="1" si="9"/>
        <v>-6.9404949396740974E-3</v>
      </c>
    </row>
    <row r="483" spans="5:6" x14ac:dyDescent="0.35">
      <c r="E483" s="13">
        <v>482</v>
      </c>
      <c r="F483" s="12">
        <f t="shared" ca="1" si="9"/>
        <v>-9.7658876765249029E-3</v>
      </c>
    </row>
    <row r="484" spans="5:6" x14ac:dyDescent="0.35">
      <c r="E484" s="13">
        <v>483</v>
      </c>
      <c r="F484" s="12">
        <f t="shared" ca="1" si="9"/>
        <v>-6.1166282189893109E-4</v>
      </c>
    </row>
    <row r="485" spans="5:6" x14ac:dyDescent="0.35">
      <c r="E485" s="13">
        <v>484</v>
      </c>
      <c r="F485" s="12">
        <f t="shared" ca="1" si="9"/>
        <v>9.7144121484554116E-3</v>
      </c>
    </row>
    <row r="486" spans="5:6" x14ac:dyDescent="0.35">
      <c r="E486" s="13">
        <v>485</v>
      </c>
      <c r="F486" s="12">
        <f t="shared" ca="1" si="9"/>
        <v>-3.5905170932833915E-3</v>
      </c>
    </row>
    <row r="487" spans="5:6" x14ac:dyDescent="0.35">
      <c r="E487" s="13">
        <v>486</v>
      </c>
      <c r="F487" s="12">
        <f t="shared" ca="1" si="9"/>
        <v>-8.1093980777803987E-5</v>
      </c>
    </row>
    <row r="488" spans="5:6" x14ac:dyDescent="0.35">
      <c r="E488" s="13">
        <v>487</v>
      </c>
      <c r="F488" s="12">
        <f t="shared" ca="1" si="9"/>
        <v>-3.274832850640827E-2</v>
      </c>
    </row>
    <row r="489" spans="5:6" x14ac:dyDescent="0.35">
      <c r="E489" s="13">
        <v>488</v>
      </c>
      <c r="F489" s="12">
        <f t="shared" ca="1" si="9"/>
        <v>9.8709120170798192E-3</v>
      </c>
    </row>
    <row r="490" spans="5:6" x14ac:dyDescent="0.35">
      <c r="E490" s="13">
        <v>489</v>
      </c>
      <c r="F490" s="12">
        <f t="shared" ca="1" si="9"/>
        <v>7.2316531565304266E-4</v>
      </c>
    </row>
    <row r="491" spans="5:6" x14ac:dyDescent="0.35">
      <c r="E491" s="13">
        <v>490</v>
      </c>
      <c r="F491" s="12">
        <f t="shared" ca="1" si="9"/>
        <v>-3.6951013094436952E-3</v>
      </c>
    </row>
    <row r="492" spans="5:6" x14ac:dyDescent="0.35">
      <c r="E492" s="13">
        <v>491</v>
      </c>
      <c r="F492" s="12">
        <f t="shared" ca="1" si="9"/>
        <v>-2.5187092027940367E-2</v>
      </c>
    </row>
    <row r="493" spans="5:6" x14ac:dyDescent="0.35">
      <c r="E493" s="13">
        <v>492</v>
      </c>
      <c r="F493" s="12">
        <f t="shared" ca="1" si="9"/>
        <v>2.1475626418817392E-5</v>
      </c>
    </row>
    <row r="494" spans="5:6" x14ac:dyDescent="0.35">
      <c r="E494" s="13">
        <v>493</v>
      </c>
      <c r="F494" s="12">
        <f t="shared" ca="1" si="9"/>
        <v>1.5822903385659268E-2</v>
      </c>
    </row>
    <row r="495" spans="5:6" x14ac:dyDescent="0.35">
      <c r="E495" s="13">
        <v>494</v>
      </c>
      <c r="F495" s="12">
        <f t="shared" ca="1" si="9"/>
        <v>8.1440108389494292E-3</v>
      </c>
    </row>
    <row r="496" spans="5:6" x14ac:dyDescent="0.35">
      <c r="E496" s="13">
        <v>495</v>
      </c>
      <c r="F496" s="12">
        <f t="shared" ca="1" si="9"/>
        <v>-3.0917402406959132E-3</v>
      </c>
    </row>
    <row r="497" spans="5:6" x14ac:dyDescent="0.35">
      <c r="E497" s="13">
        <v>496</v>
      </c>
      <c r="F497" s="12">
        <f t="shared" ca="1" si="9"/>
        <v>-1.7081216516091711E-2</v>
      </c>
    </row>
    <row r="498" spans="5:6" x14ac:dyDescent="0.35">
      <c r="E498" s="13">
        <v>497</v>
      </c>
      <c r="F498" s="12">
        <f t="shared" ca="1" si="9"/>
        <v>2.2479897124889597E-2</v>
      </c>
    </row>
    <row r="499" spans="5:6" x14ac:dyDescent="0.35">
      <c r="E499" s="13">
        <v>498</v>
      </c>
      <c r="F499" s="12">
        <f t="shared" ca="1" si="9"/>
        <v>1.2782227984899312E-3</v>
      </c>
    </row>
    <row r="500" spans="5:6" x14ac:dyDescent="0.35">
      <c r="E500" s="13">
        <v>499</v>
      </c>
      <c r="F500" s="12">
        <f t="shared" ca="1" si="9"/>
        <v>-1.441716170688204E-2</v>
      </c>
    </row>
    <row r="501" spans="5:6" x14ac:dyDescent="0.35">
      <c r="E501" s="13">
        <v>500</v>
      </c>
      <c r="F501" s="12">
        <f t="shared" ca="1" si="9"/>
        <v>1.4795665503354274E-2</v>
      </c>
    </row>
    <row r="502" spans="5:6" x14ac:dyDescent="0.35">
      <c r="E502" s="13">
        <v>501</v>
      </c>
      <c r="F502" s="12">
        <f t="shared" ca="1" si="9"/>
        <v>3.314807140629189E-2</v>
      </c>
    </row>
    <row r="503" spans="5:6" x14ac:dyDescent="0.35">
      <c r="E503" s="13">
        <v>502</v>
      </c>
      <c r="F503" s="12">
        <f t="shared" ca="1" si="9"/>
        <v>-1.386321922883425E-2</v>
      </c>
    </row>
    <row r="504" spans="5:6" x14ac:dyDescent="0.35">
      <c r="E504" s="13">
        <v>503</v>
      </c>
      <c r="F504" s="12">
        <f t="shared" ca="1" si="9"/>
        <v>-2.4238830390312577E-2</v>
      </c>
    </row>
    <row r="505" spans="5:6" x14ac:dyDescent="0.35">
      <c r="E505" s="13">
        <v>504</v>
      </c>
      <c r="F505" s="12">
        <f t="shared" ca="1" si="9"/>
        <v>-2.0061071621340436E-3</v>
      </c>
    </row>
    <row r="506" spans="5:6" x14ac:dyDescent="0.35">
      <c r="E506" s="13">
        <v>505</v>
      </c>
      <c r="F506" s="12">
        <f t="shared" ca="1" si="9"/>
        <v>2.230651341485599E-2</v>
      </c>
    </row>
    <row r="507" spans="5:6" x14ac:dyDescent="0.35">
      <c r="E507" s="13">
        <v>506</v>
      </c>
      <c r="F507" s="12">
        <f t="shared" ca="1" si="9"/>
        <v>-1.2421081214574154E-2</v>
      </c>
    </row>
    <row r="508" spans="5:6" x14ac:dyDescent="0.35">
      <c r="E508" s="13">
        <v>507</v>
      </c>
      <c r="F508" s="12">
        <f t="shared" ca="1" si="9"/>
        <v>1.733565955775291E-2</v>
      </c>
    </row>
    <row r="509" spans="5:6" x14ac:dyDescent="0.35">
      <c r="E509" s="13">
        <v>508</v>
      </c>
      <c r="F509" s="12">
        <f t="shared" ca="1" si="9"/>
        <v>3.1722618767684459E-2</v>
      </c>
    </row>
    <row r="510" spans="5:6" x14ac:dyDescent="0.35">
      <c r="E510" s="13">
        <v>509</v>
      </c>
      <c r="F510" s="12">
        <f t="shared" ca="1" si="9"/>
        <v>9.2687950437859139E-3</v>
      </c>
    </row>
    <row r="511" spans="5:6" x14ac:dyDescent="0.35">
      <c r="E511" s="13">
        <v>510</v>
      </c>
      <c r="F511" s="12">
        <f t="shared" ca="1" si="9"/>
        <v>2.1246482212850821E-2</v>
      </c>
    </row>
    <row r="512" spans="5:6" x14ac:dyDescent="0.35">
      <c r="E512" s="13">
        <v>511</v>
      </c>
      <c r="F512" s="12">
        <f t="shared" ca="1" si="9"/>
        <v>6.1133416631477724E-3</v>
      </c>
    </row>
    <row r="513" spans="5:6" x14ac:dyDescent="0.35">
      <c r="E513" s="13">
        <v>512</v>
      </c>
      <c r="F513" s="12">
        <f t="shared" ca="1" si="9"/>
        <v>3.732620650563194E-2</v>
      </c>
    </row>
    <row r="514" spans="5:6" x14ac:dyDescent="0.35">
      <c r="E514" s="13">
        <v>513</v>
      </c>
      <c r="F514" s="12">
        <f t="shared" ca="1" si="9"/>
        <v>-7.391503183708948E-3</v>
      </c>
    </row>
    <row r="515" spans="5:6" x14ac:dyDescent="0.35">
      <c r="E515" s="13">
        <v>514</v>
      </c>
      <c r="F515" s="12">
        <f t="shared" ref="F515:F578" ca="1" si="10">_xlfn.NORM.INV(RAND(),$I$3,$I$4)</f>
        <v>7.5992617921131298E-3</v>
      </c>
    </row>
    <row r="516" spans="5:6" x14ac:dyDescent="0.35">
      <c r="E516" s="13">
        <v>515</v>
      </c>
      <c r="F516" s="12">
        <f t="shared" ca="1" si="10"/>
        <v>-3.9604420369256807E-2</v>
      </c>
    </row>
    <row r="517" spans="5:6" x14ac:dyDescent="0.35">
      <c r="E517" s="13">
        <v>516</v>
      </c>
      <c r="F517" s="12">
        <f t="shared" ca="1" si="10"/>
        <v>6.1469153066648558E-4</v>
      </c>
    </row>
    <row r="518" spans="5:6" x14ac:dyDescent="0.35">
      <c r="E518" s="13">
        <v>517</v>
      </c>
      <c r="F518" s="12">
        <f t="shared" ca="1" si="10"/>
        <v>1.7082727812642244E-2</v>
      </c>
    </row>
    <row r="519" spans="5:6" x14ac:dyDescent="0.35">
      <c r="E519" s="13">
        <v>518</v>
      </c>
      <c r="F519" s="12">
        <f t="shared" ca="1" si="10"/>
        <v>-1.2042271058995855E-2</v>
      </c>
    </row>
    <row r="520" spans="5:6" x14ac:dyDescent="0.35">
      <c r="E520" s="13">
        <v>519</v>
      </c>
      <c r="F520" s="12">
        <f t="shared" ca="1" si="10"/>
        <v>-2.548083150861321E-2</v>
      </c>
    </row>
    <row r="521" spans="5:6" x14ac:dyDescent="0.35">
      <c r="E521" s="13">
        <v>520</v>
      </c>
      <c r="F521" s="12">
        <f t="shared" ca="1" si="10"/>
        <v>-8.365860071108339E-3</v>
      </c>
    </row>
    <row r="522" spans="5:6" x14ac:dyDescent="0.35">
      <c r="E522" s="13">
        <v>521</v>
      </c>
      <c r="F522" s="12">
        <f t="shared" ca="1" si="10"/>
        <v>1.186034403617149E-2</v>
      </c>
    </row>
    <row r="523" spans="5:6" x14ac:dyDescent="0.35">
      <c r="E523" s="13">
        <v>522</v>
      </c>
      <c r="F523" s="12">
        <f t="shared" ca="1" si="10"/>
        <v>-6.7305723962499259E-3</v>
      </c>
    </row>
    <row r="524" spans="5:6" x14ac:dyDescent="0.35">
      <c r="E524" s="13">
        <v>523</v>
      </c>
      <c r="F524" s="12">
        <f t="shared" ca="1" si="10"/>
        <v>-3.2418337192487378E-3</v>
      </c>
    </row>
    <row r="525" spans="5:6" x14ac:dyDescent="0.35">
      <c r="E525" s="13">
        <v>524</v>
      </c>
      <c r="F525" s="12">
        <f t="shared" ca="1" si="10"/>
        <v>3.4912727910528366E-3</v>
      </c>
    </row>
    <row r="526" spans="5:6" x14ac:dyDescent="0.35">
      <c r="E526" s="13">
        <v>525</v>
      </c>
      <c r="F526" s="12">
        <f t="shared" ca="1" si="10"/>
        <v>1.3178186496707253E-2</v>
      </c>
    </row>
    <row r="527" spans="5:6" x14ac:dyDescent="0.35">
      <c r="E527" s="13">
        <v>526</v>
      </c>
      <c r="F527" s="12">
        <f t="shared" ca="1" si="10"/>
        <v>1.9390429618881311E-2</v>
      </c>
    </row>
    <row r="528" spans="5:6" x14ac:dyDescent="0.35">
      <c r="E528" s="13">
        <v>527</v>
      </c>
      <c r="F528" s="12">
        <f t="shared" ca="1" si="10"/>
        <v>1.2148446011046494E-2</v>
      </c>
    </row>
    <row r="529" spans="5:6" x14ac:dyDescent="0.35">
      <c r="E529" s="13">
        <v>528</v>
      </c>
      <c r="F529" s="12">
        <f t="shared" ca="1" si="10"/>
        <v>-1.810605120452094E-2</v>
      </c>
    </row>
    <row r="530" spans="5:6" x14ac:dyDescent="0.35">
      <c r="E530" s="13">
        <v>529</v>
      </c>
      <c r="F530" s="12">
        <f t="shared" ca="1" si="10"/>
        <v>-1.0082943946500118E-2</v>
      </c>
    </row>
    <row r="531" spans="5:6" x14ac:dyDescent="0.35">
      <c r="E531" s="13">
        <v>530</v>
      </c>
      <c r="F531" s="12">
        <f t="shared" ca="1" si="10"/>
        <v>8.1868708595454007E-3</v>
      </c>
    </row>
    <row r="532" spans="5:6" x14ac:dyDescent="0.35">
      <c r="E532" s="13">
        <v>531</v>
      </c>
      <c r="F532" s="12">
        <f t="shared" ca="1" si="10"/>
        <v>2.6978995664255372E-3</v>
      </c>
    </row>
    <row r="533" spans="5:6" x14ac:dyDescent="0.35">
      <c r="E533" s="13">
        <v>532</v>
      </c>
      <c r="F533" s="12">
        <f t="shared" ca="1" si="10"/>
        <v>-3.4058878762896996E-2</v>
      </c>
    </row>
    <row r="534" spans="5:6" x14ac:dyDescent="0.35">
      <c r="E534" s="13">
        <v>533</v>
      </c>
      <c r="F534" s="12">
        <f t="shared" ca="1" si="10"/>
        <v>-4.0779837743136378E-2</v>
      </c>
    </row>
    <row r="535" spans="5:6" x14ac:dyDescent="0.35">
      <c r="E535" s="13">
        <v>534</v>
      </c>
      <c r="F535" s="12">
        <f t="shared" ca="1" si="10"/>
        <v>7.4847829853343997E-3</v>
      </c>
    </row>
    <row r="536" spans="5:6" x14ac:dyDescent="0.35">
      <c r="E536" s="13">
        <v>535</v>
      </c>
      <c r="F536" s="12">
        <f t="shared" ca="1" si="10"/>
        <v>3.2006894661411572E-2</v>
      </c>
    </row>
    <row r="537" spans="5:6" x14ac:dyDescent="0.35">
      <c r="E537" s="13">
        <v>536</v>
      </c>
      <c r="F537" s="12">
        <f t="shared" ca="1" si="10"/>
        <v>2.3008523215966976E-2</v>
      </c>
    </row>
    <row r="538" spans="5:6" x14ac:dyDescent="0.35">
      <c r="E538" s="13">
        <v>537</v>
      </c>
      <c r="F538" s="12">
        <f t="shared" ca="1" si="10"/>
        <v>1.1020419757072495E-2</v>
      </c>
    </row>
    <row r="539" spans="5:6" x14ac:dyDescent="0.35">
      <c r="E539" s="13">
        <v>538</v>
      </c>
      <c r="F539" s="12">
        <f t="shared" ca="1" si="10"/>
        <v>-5.2078845427510123E-2</v>
      </c>
    </row>
    <row r="540" spans="5:6" x14ac:dyDescent="0.35">
      <c r="E540" s="13">
        <v>539</v>
      </c>
      <c r="F540" s="12">
        <f t="shared" ca="1" si="10"/>
        <v>-1.1706345436050248E-2</v>
      </c>
    </row>
    <row r="541" spans="5:6" x14ac:dyDescent="0.35">
      <c r="E541" s="13">
        <v>540</v>
      </c>
      <c r="F541" s="12">
        <f t="shared" ca="1" si="10"/>
        <v>-5.579178842941521E-3</v>
      </c>
    </row>
    <row r="542" spans="5:6" x14ac:dyDescent="0.35">
      <c r="E542" s="13">
        <v>541</v>
      </c>
      <c r="F542" s="12">
        <f t="shared" ca="1" si="10"/>
        <v>-1.0507751257534171E-3</v>
      </c>
    </row>
    <row r="543" spans="5:6" x14ac:dyDescent="0.35">
      <c r="E543" s="13">
        <v>542</v>
      </c>
      <c r="F543" s="12">
        <f t="shared" ca="1" si="10"/>
        <v>1.2437128944077454E-2</v>
      </c>
    </row>
    <row r="544" spans="5:6" x14ac:dyDescent="0.35">
      <c r="E544" s="13">
        <v>543</v>
      </c>
      <c r="F544" s="12">
        <f t="shared" ca="1" si="10"/>
        <v>-9.5398730910050238E-3</v>
      </c>
    </row>
    <row r="545" spans="5:6" x14ac:dyDescent="0.35">
      <c r="E545" s="13">
        <v>544</v>
      </c>
      <c r="F545" s="12">
        <f t="shared" ca="1" si="10"/>
        <v>3.6592394200883352E-2</v>
      </c>
    </row>
    <row r="546" spans="5:6" x14ac:dyDescent="0.35">
      <c r="E546" s="13">
        <v>545</v>
      </c>
      <c r="F546" s="12">
        <f t="shared" ca="1" si="10"/>
        <v>2.6336307256397745E-3</v>
      </c>
    </row>
    <row r="547" spans="5:6" x14ac:dyDescent="0.35">
      <c r="E547" s="13">
        <v>546</v>
      </c>
      <c r="F547" s="12">
        <f t="shared" ca="1" si="10"/>
        <v>-2.742849223045073E-2</v>
      </c>
    </row>
    <row r="548" spans="5:6" x14ac:dyDescent="0.35">
      <c r="E548" s="13">
        <v>547</v>
      </c>
      <c r="F548" s="12">
        <f t="shared" ca="1" si="10"/>
        <v>-1.8536153993102517E-2</v>
      </c>
    </row>
    <row r="549" spans="5:6" x14ac:dyDescent="0.35">
      <c r="E549" s="13">
        <v>548</v>
      </c>
      <c r="F549" s="12">
        <f t="shared" ca="1" si="10"/>
        <v>-1.0354875986839627E-2</v>
      </c>
    </row>
    <row r="550" spans="5:6" x14ac:dyDescent="0.35">
      <c r="E550" s="13">
        <v>549</v>
      </c>
      <c r="F550" s="12">
        <f t="shared" ca="1" si="10"/>
        <v>-7.041406400534753E-4</v>
      </c>
    </row>
    <row r="551" spans="5:6" x14ac:dyDescent="0.35">
      <c r="E551" s="13">
        <v>550</v>
      </c>
      <c r="F551" s="12">
        <f t="shared" ca="1" si="10"/>
        <v>4.5906917090940851E-2</v>
      </c>
    </row>
    <row r="552" spans="5:6" x14ac:dyDescent="0.35">
      <c r="E552" s="13">
        <v>551</v>
      </c>
      <c r="F552" s="12">
        <f t="shared" ca="1" si="10"/>
        <v>2.020044252840137E-2</v>
      </c>
    </row>
    <row r="553" spans="5:6" x14ac:dyDescent="0.35">
      <c r="E553" s="13">
        <v>552</v>
      </c>
      <c r="F553" s="12">
        <f t="shared" ca="1" si="10"/>
        <v>-2.107362039903839E-2</v>
      </c>
    </row>
    <row r="554" spans="5:6" x14ac:dyDescent="0.35">
      <c r="E554" s="13">
        <v>553</v>
      </c>
      <c r="F554" s="12">
        <f t="shared" ca="1" si="10"/>
        <v>-2.4476753991783166E-2</v>
      </c>
    </row>
    <row r="555" spans="5:6" x14ac:dyDescent="0.35">
      <c r="E555" s="13">
        <v>554</v>
      </c>
      <c r="F555" s="12">
        <f t="shared" ca="1" si="10"/>
        <v>-1.8762252953997052E-2</v>
      </c>
    </row>
    <row r="556" spans="5:6" x14ac:dyDescent="0.35">
      <c r="E556" s="13">
        <v>555</v>
      </c>
      <c r="F556" s="12">
        <f t="shared" ca="1" si="10"/>
        <v>9.7364197195655179E-3</v>
      </c>
    </row>
    <row r="557" spans="5:6" x14ac:dyDescent="0.35">
      <c r="E557" s="13">
        <v>556</v>
      </c>
      <c r="F557" s="12">
        <f t="shared" ca="1" si="10"/>
        <v>2.1100147711292094E-2</v>
      </c>
    </row>
    <row r="558" spans="5:6" x14ac:dyDescent="0.35">
      <c r="E558" s="13">
        <v>557</v>
      </c>
      <c r="F558" s="12">
        <f t="shared" ca="1" si="10"/>
        <v>-1.5753509031886933E-2</v>
      </c>
    </row>
    <row r="559" spans="5:6" x14ac:dyDescent="0.35">
      <c r="E559" s="13">
        <v>558</v>
      </c>
      <c r="F559" s="12">
        <f t="shared" ca="1" si="10"/>
        <v>2.5160112012007573E-4</v>
      </c>
    </row>
    <row r="560" spans="5:6" x14ac:dyDescent="0.35">
      <c r="E560" s="13">
        <v>559</v>
      </c>
      <c r="F560" s="12">
        <f t="shared" ca="1" si="10"/>
        <v>1.6656450191568861E-2</v>
      </c>
    </row>
    <row r="561" spans="5:6" x14ac:dyDescent="0.35">
      <c r="E561" s="13">
        <v>560</v>
      </c>
      <c r="F561" s="12">
        <f t="shared" ca="1" si="10"/>
        <v>-1.749524443178755E-2</v>
      </c>
    </row>
    <row r="562" spans="5:6" x14ac:dyDescent="0.35">
      <c r="E562" s="13">
        <v>561</v>
      </c>
      <c r="F562" s="12">
        <f t="shared" ca="1" si="10"/>
        <v>4.3732850679638977E-3</v>
      </c>
    </row>
    <row r="563" spans="5:6" x14ac:dyDescent="0.35">
      <c r="E563" s="13">
        <v>562</v>
      </c>
      <c r="F563" s="12">
        <f t="shared" ca="1" si="10"/>
        <v>3.3140685744184476E-3</v>
      </c>
    </row>
    <row r="564" spans="5:6" x14ac:dyDescent="0.35">
      <c r="E564" s="13">
        <v>563</v>
      </c>
      <c r="F564" s="12">
        <f t="shared" ca="1" si="10"/>
        <v>-1.0125255918102654E-2</v>
      </c>
    </row>
    <row r="565" spans="5:6" x14ac:dyDescent="0.35">
      <c r="E565" s="13">
        <v>564</v>
      </c>
      <c r="F565" s="12">
        <f t="shared" ca="1" si="10"/>
        <v>-2.7841244376285885E-2</v>
      </c>
    </row>
    <row r="566" spans="5:6" x14ac:dyDescent="0.35">
      <c r="E566" s="13">
        <v>565</v>
      </c>
      <c r="F566" s="12">
        <f t="shared" ca="1" si="10"/>
        <v>2.6698581894424516E-2</v>
      </c>
    </row>
    <row r="567" spans="5:6" x14ac:dyDescent="0.35">
      <c r="E567" s="13">
        <v>566</v>
      </c>
      <c r="F567" s="12">
        <f t="shared" ca="1" si="10"/>
        <v>-1.9948489637877088E-2</v>
      </c>
    </row>
    <row r="568" spans="5:6" x14ac:dyDescent="0.35">
      <c r="E568" s="13">
        <v>567</v>
      </c>
      <c r="F568" s="12">
        <f t="shared" ca="1" si="10"/>
        <v>1.8327015929217236E-2</v>
      </c>
    </row>
    <row r="569" spans="5:6" x14ac:dyDescent="0.35">
      <c r="E569" s="13">
        <v>568</v>
      </c>
      <c r="F569" s="12">
        <f t="shared" ca="1" si="10"/>
        <v>-1.3665111208206565E-2</v>
      </c>
    </row>
    <row r="570" spans="5:6" x14ac:dyDescent="0.35">
      <c r="E570" s="13">
        <v>569</v>
      </c>
      <c r="F570" s="12">
        <f t="shared" ca="1" si="10"/>
        <v>-2.0190418486081209E-3</v>
      </c>
    </row>
    <row r="571" spans="5:6" x14ac:dyDescent="0.35">
      <c r="E571" s="13">
        <v>570</v>
      </c>
      <c r="F571" s="12">
        <f t="shared" ca="1" si="10"/>
        <v>-3.9951424684257341E-3</v>
      </c>
    </row>
    <row r="572" spans="5:6" x14ac:dyDescent="0.35">
      <c r="E572" s="13">
        <v>571</v>
      </c>
      <c r="F572" s="12">
        <f t="shared" ca="1" si="10"/>
        <v>1.01512948021544E-2</v>
      </c>
    </row>
    <row r="573" spans="5:6" x14ac:dyDescent="0.35">
      <c r="E573" s="13">
        <v>572</v>
      </c>
      <c r="F573" s="12">
        <f t="shared" ca="1" si="10"/>
        <v>3.3645893285717838E-3</v>
      </c>
    </row>
    <row r="574" spans="5:6" x14ac:dyDescent="0.35">
      <c r="E574" s="13">
        <v>573</v>
      </c>
      <c r="F574" s="12">
        <f t="shared" ca="1" si="10"/>
        <v>-5.8751977613323153E-3</v>
      </c>
    </row>
    <row r="575" spans="5:6" x14ac:dyDescent="0.35">
      <c r="E575" s="13">
        <v>574</v>
      </c>
      <c r="F575" s="12">
        <f t="shared" ca="1" si="10"/>
        <v>-2.7704353214676237E-3</v>
      </c>
    </row>
    <row r="576" spans="5:6" x14ac:dyDescent="0.35">
      <c r="E576" s="13">
        <v>575</v>
      </c>
      <c r="F576" s="12">
        <f t="shared" ca="1" si="10"/>
        <v>-1.3510138933109928E-2</v>
      </c>
    </row>
    <row r="577" spans="5:6" x14ac:dyDescent="0.35">
      <c r="E577" s="13">
        <v>576</v>
      </c>
      <c r="F577" s="12">
        <f t="shared" ca="1" si="10"/>
        <v>-7.1933448429202154E-3</v>
      </c>
    </row>
    <row r="578" spans="5:6" x14ac:dyDescent="0.35">
      <c r="E578" s="13">
        <v>577</v>
      </c>
      <c r="F578" s="12">
        <f t="shared" ca="1" si="10"/>
        <v>-8.6736700976704079E-3</v>
      </c>
    </row>
    <row r="579" spans="5:6" x14ac:dyDescent="0.35">
      <c r="E579" s="13">
        <v>578</v>
      </c>
      <c r="F579" s="12">
        <f t="shared" ref="F579:F642" ca="1" si="11">_xlfn.NORM.INV(RAND(),$I$3,$I$4)</f>
        <v>-3.566257886252322E-2</v>
      </c>
    </row>
    <row r="580" spans="5:6" x14ac:dyDescent="0.35">
      <c r="E580" s="13">
        <v>579</v>
      </c>
      <c r="F580" s="12">
        <f t="shared" ca="1" si="11"/>
        <v>4.2736464485379634E-2</v>
      </c>
    </row>
    <row r="581" spans="5:6" x14ac:dyDescent="0.35">
      <c r="E581" s="13">
        <v>580</v>
      </c>
      <c r="F581" s="12">
        <f t="shared" ca="1" si="11"/>
        <v>-1.2460001368504222E-2</v>
      </c>
    </row>
    <row r="582" spans="5:6" x14ac:dyDescent="0.35">
      <c r="E582" s="13">
        <v>581</v>
      </c>
      <c r="F582" s="12">
        <f t="shared" ca="1" si="11"/>
        <v>-1.437841662686045E-2</v>
      </c>
    </row>
    <row r="583" spans="5:6" x14ac:dyDescent="0.35">
      <c r="E583" s="13">
        <v>582</v>
      </c>
      <c r="F583" s="12">
        <f t="shared" ca="1" si="11"/>
        <v>2.2669734404586934E-2</v>
      </c>
    </row>
    <row r="584" spans="5:6" x14ac:dyDescent="0.35">
      <c r="E584" s="13">
        <v>583</v>
      </c>
      <c r="F584" s="12">
        <f t="shared" ca="1" si="11"/>
        <v>-9.2232829030836558E-3</v>
      </c>
    </row>
    <row r="585" spans="5:6" x14ac:dyDescent="0.35">
      <c r="E585" s="13">
        <v>584</v>
      </c>
      <c r="F585" s="12">
        <f t="shared" ca="1" si="11"/>
        <v>-1.2134654119440895E-3</v>
      </c>
    </row>
    <row r="586" spans="5:6" x14ac:dyDescent="0.35">
      <c r="E586" s="13">
        <v>585</v>
      </c>
      <c r="F586" s="12">
        <f t="shared" ca="1" si="11"/>
        <v>-1.1307970638742341E-2</v>
      </c>
    </row>
    <row r="587" spans="5:6" x14ac:dyDescent="0.35">
      <c r="E587" s="13">
        <v>586</v>
      </c>
      <c r="F587" s="12">
        <f t="shared" ca="1" si="11"/>
        <v>-1.4001983392810445E-2</v>
      </c>
    </row>
    <row r="588" spans="5:6" x14ac:dyDescent="0.35">
      <c r="E588" s="13">
        <v>587</v>
      </c>
      <c r="F588" s="12">
        <f t="shared" ca="1" si="11"/>
        <v>-1.4807016653977881E-2</v>
      </c>
    </row>
    <row r="589" spans="5:6" x14ac:dyDescent="0.35">
      <c r="E589" s="13">
        <v>588</v>
      </c>
      <c r="F589" s="12">
        <f t="shared" ca="1" si="11"/>
        <v>1.691752033159832E-2</v>
      </c>
    </row>
    <row r="590" spans="5:6" x14ac:dyDescent="0.35">
      <c r="E590" s="13">
        <v>589</v>
      </c>
      <c r="F590" s="12">
        <f t="shared" ca="1" si="11"/>
        <v>-9.5878032227857696E-3</v>
      </c>
    </row>
    <row r="591" spans="5:6" x14ac:dyDescent="0.35">
      <c r="E591" s="13">
        <v>590</v>
      </c>
      <c r="F591" s="12">
        <f t="shared" ca="1" si="11"/>
        <v>9.1182346250419013E-3</v>
      </c>
    </row>
    <row r="592" spans="5:6" x14ac:dyDescent="0.35">
      <c r="E592" s="13">
        <v>591</v>
      </c>
      <c r="F592" s="12">
        <f t="shared" ca="1" si="11"/>
        <v>-2.0498967867703562E-2</v>
      </c>
    </row>
    <row r="593" spans="5:6" x14ac:dyDescent="0.35">
      <c r="E593" s="13">
        <v>592</v>
      </c>
      <c r="F593" s="12">
        <f t="shared" ca="1" si="11"/>
        <v>1.3360386958401967E-2</v>
      </c>
    </row>
    <row r="594" spans="5:6" x14ac:dyDescent="0.35">
      <c r="E594" s="13">
        <v>593</v>
      </c>
      <c r="F594" s="12">
        <f t="shared" ca="1" si="11"/>
        <v>-3.1097687809329829E-4</v>
      </c>
    </row>
    <row r="595" spans="5:6" x14ac:dyDescent="0.35">
      <c r="E595" s="13">
        <v>594</v>
      </c>
      <c r="F595" s="12">
        <f t="shared" ca="1" si="11"/>
        <v>7.7852374605802098E-3</v>
      </c>
    </row>
    <row r="596" spans="5:6" x14ac:dyDescent="0.35">
      <c r="E596" s="13">
        <v>595</v>
      </c>
      <c r="F596" s="12">
        <f t="shared" ca="1" si="11"/>
        <v>-1.0463842921606056E-2</v>
      </c>
    </row>
    <row r="597" spans="5:6" x14ac:dyDescent="0.35">
      <c r="E597" s="13">
        <v>596</v>
      </c>
      <c r="F597" s="12">
        <f t="shared" ca="1" si="11"/>
        <v>2.6140995662125581E-3</v>
      </c>
    </row>
    <row r="598" spans="5:6" x14ac:dyDescent="0.35">
      <c r="E598" s="13">
        <v>597</v>
      </c>
      <c r="F598" s="12">
        <f t="shared" ca="1" si="11"/>
        <v>-1.9710060159041295E-2</v>
      </c>
    </row>
    <row r="599" spans="5:6" x14ac:dyDescent="0.35">
      <c r="E599" s="13">
        <v>598</v>
      </c>
      <c r="F599" s="12">
        <f t="shared" ca="1" si="11"/>
        <v>-6.8897908324428141E-3</v>
      </c>
    </row>
    <row r="600" spans="5:6" x14ac:dyDescent="0.35">
      <c r="E600" s="13">
        <v>599</v>
      </c>
      <c r="F600" s="12">
        <f t="shared" ca="1" si="11"/>
        <v>2.1275941935074708E-2</v>
      </c>
    </row>
    <row r="601" spans="5:6" x14ac:dyDescent="0.35">
      <c r="E601" s="13">
        <v>600</v>
      </c>
      <c r="F601" s="12">
        <f t="shared" ca="1" si="11"/>
        <v>-4.4348077913139335E-3</v>
      </c>
    </row>
    <row r="602" spans="5:6" x14ac:dyDescent="0.35">
      <c r="E602" s="13">
        <v>601</v>
      </c>
      <c r="F602" s="12">
        <f t="shared" ca="1" si="11"/>
        <v>1.1626447483202119E-2</v>
      </c>
    </row>
    <row r="603" spans="5:6" x14ac:dyDescent="0.35">
      <c r="E603" s="13">
        <v>602</v>
      </c>
      <c r="F603" s="12">
        <f t="shared" ca="1" si="11"/>
        <v>1.844361433630114E-2</v>
      </c>
    </row>
    <row r="604" spans="5:6" x14ac:dyDescent="0.35">
      <c r="E604" s="13">
        <v>603</v>
      </c>
      <c r="F604" s="12">
        <f t="shared" ca="1" si="11"/>
        <v>-1.119492581682193E-3</v>
      </c>
    </row>
    <row r="605" spans="5:6" x14ac:dyDescent="0.35">
      <c r="E605" s="13">
        <v>604</v>
      </c>
      <c r="F605" s="12">
        <f t="shared" ca="1" si="11"/>
        <v>-2.3311924254186236E-2</v>
      </c>
    </row>
    <row r="606" spans="5:6" x14ac:dyDescent="0.35">
      <c r="E606" s="13">
        <v>605</v>
      </c>
      <c r="F606" s="12">
        <f t="shared" ca="1" si="11"/>
        <v>4.6144488251078815E-3</v>
      </c>
    </row>
    <row r="607" spans="5:6" x14ac:dyDescent="0.35">
      <c r="E607" s="13">
        <v>606</v>
      </c>
      <c r="F607" s="12">
        <f t="shared" ca="1" si="11"/>
        <v>8.1448922867149321E-3</v>
      </c>
    </row>
    <row r="608" spans="5:6" x14ac:dyDescent="0.35">
      <c r="E608" s="13">
        <v>607</v>
      </c>
      <c r="F608" s="12">
        <f t="shared" ca="1" si="11"/>
        <v>3.4551341961719217E-2</v>
      </c>
    </row>
    <row r="609" spans="5:6" x14ac:dyDescent="0.35">
      <c r="E609" s="13">
        <v>608</v>
      </c>
      <c r="F609" s="12">
        <f t="shared" ca="1" si="11"/>
        <v>1.3749895407301045E-2</v>
      </c>
    </row>
    <row r="610" spans="5:6" x14ac:dyDescent="0.35">
      <c r="E610" s="13">
        <v>609</v>
      </c>
      <c r="F610" s="12">
        <f t="shared" ca="1" si="11"/>
        <v>1.2222197915523442E-3</v>
      </c>
    </row>
    <row r="611" spans="5:6" x14ac:dyDescent="0.35">
      <c r="E611" s="13">
        <v>610</v>
      </c>
      <c r="F611" s="12">
        <f t="shared" ca="1" si="11"/>
        <v>-2.3129960345999099E-2</v>
      </c>
    </row>
    <row r="612" spans="5:6" x14ac:dyDescent="0.35">
      <c r="E612" s="13">
        <v>611</v>
      </c>
      <c r="F612" s="12">
        <f t="shared" ca="1" si="11"/>
        <v>1.3415304517492751E-2</v>
      </c>
    </row>
    <row r="613" spans="5:6" x14ac:dyDescent="0.35">
      <c r="E613" s="13">
        <v>612</v>
      </c>
      <c r="F613" s="12">
        <f t="shared" ca="1" si="11"/>
        <v>-5.7895493682290008E-3</v>
      </c>
    </row>
    <row r="614" spans="5:6" x14ac:dyDescent="0.35">
      <c r="E614" s="13">
        <v>613</v>
      </c>
      <c r="F614" s="12">
        <f t="shared" ca="1" si="11"/>
        <v>9.2125553032520544E-3</v>
      </c>
    </row>
    <row r="615" spans="5:6" x14ac:dyDescent="0.35">
      <c r="E615" s="13">
        <v>614</v>
      </c>
      <c r="F615" s="12">
        <f t="shared" ca="1" si="11"/>
        <v>1.6359667653058216E-2</v>
      </c>
    </row>
    <row r="616" spans="5:6" x14ac:dyDescent="0.35">
      <c r="E616" s="13">
        <v>615</v>
      </c>
      <c r="F616" s="12">
        <f t="shared" ca="1" si="11"/>
        <v>-3.9634709825320601E-2</v>
      </c>
    </row>
    <row r="617" spans="5:6" x14ac:dyDescent="0.35">
      <c r="E617" s="13">
        <v>616</v>
      </c>
      <c r="F617" s="12">
        <f t="shared" ca="1" si="11"/>
        <v>6.0910425854317218E-3</v>
      </c>
    </row>
    <row r="618" spans="5:6" x14ac:dyDescent="0.35">
      <c r="E618" s="13">
        <v>617</v>
      </c>
      <c r="F618" s="12">
        <f t="shared" ca="1" si="11"/>
        <v>2.1343360177342677E-3</v>
      </c>
    </row>
    <row r="619" spans="5:6" x14ac:dyDescent="0.35">
      <c r="E619" s="13">
        <v>618</v>
      </c>
      <c r="F619" s="12">
        <f t="shared" ca="1" si="11"/>
        <v>-1.1167062311837818E-2</v>
      </c>
    </row>
    <row r="620" spans="5:6" x14ac:dyDescent="0.35">
      <c r="E620" s="13">
        <v>619</v>
      </c>
      <c r="F620" s="12">
        <f t="shared" ca="1" si="11"/>
        <v>6.0090112957377605E-3</v>
      </c>
    </row>
    <row r="621" spans="5:6" x14ac:dyDescent="0.35">
      <c r="E621" s="13">
        <v>620</v>
      </c>
      <c r="F621" s="12">
        <f t="shared" ca="1" si="11"/>
        <v>2.232490682648856E-3</v>
      </c>
    </row>
    <row r="622" spans="5:6" x14ac:dyDescent="0.35">
      <c r="E622" s="13">
        <v>621</v>
      </c>
      <c r="F622" s="12">
        <f t="shared" ca="1" si="11"/>
        <v>-9.9882064294539163E-3</v>
      </c>
    </row>
    <row r="623" spans="5:6" x14ac:dyDescent="0.35">
      <c r="E623" s="13">
        <v>622</v>
      </c>
      <c r="F623" s="12">
        <f t="shared" ca="1" si="11"/>
        <v>-9.9056837448089664E-3</v>
      </c>
    </row>
    <row r="624" spans="5:6" x14ac:dyDescent="0.35">
      <c r="E624" s="13">
        <v>623</v>
      </c>
      <c r="F624" s="12">
        <f t="shared" ca="1" si="11"/>
        <v>-1.8604948574633327E-2</v>
      </c>
    </row>
    <row r="625" spans="5:6" x14ac:dyDescent="0.35">
      <c r="E625" s="13">
        <v>624</v>
      </c>
      <c r="F625" s="12">
        <f t="shared" ca="1" si="11"/>
        <v>-9.5198485063353183E-3</v>
      </c>
    </row>
    <row r="626" spans="5:6" x14ac:dyDescent="0.35">
      <c r="E626" s="13">
        <v>625</v>
      </c>
      <c r="F626" s="12">
        <f t="shared" ca="1" si="11"/>
        <v>7.9961525152006246E-3</v>
      </c>
    </row>
    <row r="627" spans="5:6" x14ac:dyDescent="0.35">
      <c r="E627" s="13">
        <v>626</v>
      </c>
      <c r="F627" s="12">
        <f t="shared" ca="1" si="11"/>
        <v>1.9372951416007657E-3</v>
      </c>
    </row>
    <row r="628" spans="5:6" x14ac:dyDescent="0.35">
      <c r="E628" s="13">
        <v>627</v>
      </c>
      <c r="F628" s="12">
        <f t="shared" ca="1" si="11"/>
        <v>-4.5429885083392643E-3</v>
      </c>
    </row>
    <row r="629" spans="5:6" x14ac:dyDescent="0.35">
      <c r="E629" s="13">
        <v>628</v>
      </c>
      <c r="F629" s="12">
        <f t="shared" ca="1" si="11"/>
        <v>1.3068068209208967E-2</v>
      </c>
    </row>
    <row r="630" spans="5:6" x14ac:dyDescent="0.35">
      <c r="E630" s="13">
        <v>629</v>
      </c>
      <c r="F630" s="12">
        <f t="shared" ca="1" si="11"/>
        <v>2.9953508732424071E-3</v>
      </c>
    </row>
    <row r="631" spans="5:6" x14ac:dyDescent="0.35">
      <c r="E631" s="13">
        <v>630</v>
      </c>
      <c r="F631" s="12">
        <f t="shared" ca="1" si="11"/>
        <v>-1.0164870756073623E-3</v>
      </c>
    </row>
    <row r="632" spans="5:6" x14ac:dyDescent="0.35">
      <c r="E632" s="13">
        <v>631</v>
      </c>
      <c r="F632" s="12">
        <f t="shared" ca="1" si="11"/>
        <v>-8.7353558847436249E-4</v>
      </c>
    </row>
    <row r="633" spans="5:6" x14ac:dyDescent="0.35">
      <c r="E633" s="13">
        <v>632</v>
      </c>
      <c r="F633" s="12">
        <f t="shared" ca="1" si="11"/>
        <v>8.8344551012622379E-3</v>
      </c>
    </row>
    <row r="634" spans="5:6" x14ac:dyDescent="0.35">
      <c r="E634" s="13">
        <v>633</v>
      </c>
      <c r="F634" s="12">
        <f t="shared" ca="1" si="11"/>
        <v>1.5832795030646361E-3</v>
      </c>
    </row>
    <row r="635" spans="5:6" x14ac:dyDescent="0.35">
      <c r="E635" s="13">
        <v>634</v>
      </c>
      <c r="F635" s="12">
        <f t="shared" ca="1" si="11"/>
        <v>1.5291086982192451E-2</v>
      </c>
    </row>
    <row r="636" spans="5:6" x14ac:dyDescent="0.35">
      <c r="E636" s="13">
        <v>635</v>
      </c>
      <c r="F636" s="12">
        <f t="shared" ca="1" si="11"/>
        <v>2.1000376138658738E-2</v>
      </c>
    </row>
    <row r="637" spans="5:6" x14ac:dyDescent="0.35">
      <c r="E637" s="13">
        <v>636</v>
      </c>
      <c r="F637" s="12">
        <f t="shared" ca="1" si="11"/>
        <v>-1.6969817691491657E-2</v>
      </c>
    </row>
    <row r="638" spans="5:6" x14ac:dyDescent="0.35">
      <c r="E638" s="13">
        <v>637</v>
      </c>
      <c r="F638" s="12">
        <f t="shared" ca="1" si="11"/>
        <v>3.7537138696188965E-3</v>
      </c>
    </row>
    <row r="639" spans="5:6" x14ac:dyDescent="0.35">
      <c r="E639" s="13">
        <v>638</v>
      </c>
      <c r="F639" s="12">
        <f t="shared" ca="1" si="11"/>
        <v>-1.8563223527650559E-2</v>
      </c>
    </row>
    <row r="640" spans="5:6" x14ac:dyDescent="0.35">
      <c r="E640" s="13">
        <v>639</v>
      </c>
      <c r="F640" s="12">
        <f t="shared" ca="1" si="11"/>
        <v>3.1283001783207211E-3</v>
      </c>
    </row>
    <row r="641" spans="5:6" x14ac:dyDescent="0.35">
      <c r="E641" s="13">
        <v>640</v>
      </c>
      <c r="F641" s="12">
        <f t="shared" ca="1" si="11"/>
        <v>2.3389497760691437E-4</v>
      </c>
    </row>
    <row r="642" spans="5:6" x14ac:dyDescent="0.35">
      <c r="E642" s="13">
        <v>641</v>
      </c>
      <c r="F642" s="12">
        <f t="shared" ca="1" si="11"/>
        <v>-7.3418472926968037E-4</v>
      </c>
    </row>
    <row r="643" spans="5:6" x14ac:dyDescent="0.35">
      <c r="E643" s="13">
        <v>642</v>
      </c>
      <c r="F643" s="12">
        <f t="shared" ref="F643:F706" ca="1" si="12">_xlfn.NORM.INV(RAND(),$I$3,$I$4)</f>
        <v>1.547374641899881E-2</v>
      </c>
    </row>
    <row r="644" spans="5:6" x14ac:dyDescent="0.35">
      <c r="E644" s="13">
        <v>643</v>
      </c>
      <c r="F644" s="12">
        <f t="shared" ca="1" si="12"/>
        <v>-3.2466640739631451E-2</v>
      </c>
    </row>
    <row r="645" spans="5:6" x14ac:dyDescent="0.35">
      <c r="E645" s="13">
        <v>644</v>
      </c>
      <c r="F645" s="12">
        <f t="shared" ca="1" si="12"/>
        <v>-1.0091685395302225E-2</v>
      </c>
    </row>
    <row r="646" spans="5:6" x14ac:dyDescent="0.35">
      <c r="E646" s="13">
        <v>645</v>
      </c>
      <c r="F646" s="12">
        <f t="shared" ca="1" si="12"/>
        <v>-5.3853583169101889E-3</v>
      </c>
    </row>
    <row r="647" spans="5:6" x14ac:dyDescent="0.35">
      <c r="E647" s="13">
        <v>646</v>
      </c>
      <c r="F647" s="12">
        <f t="shared" ca="1" si="12"/>
        <v>1.6620888749242044E-2</v>
      </c>
    </row>
    <row r="648" spans="5:6" x14ac:dyDescent="0.35">
      <c r="E648" s="13">
        <v>647</v>
      </c>
      <c r="F648" s="12">
        <f t="shared" ca="1" si="12"/>
        <v>-1.1004130925988377E-2</v>
      </c>
    </row>
    <row r="649" spans="5:6" x14ac:dyDescent="0.35">
      <c r="E649" s="13">
        <v>648</v>
      </c>
      <c r="F649" s="12">
        <f t="shared" ca="1" si="12"/>
        <v>-6.9161705849129663E-3</v>
      </c>
    </row>
    <row r="650" spans="5:6" x14ac:dyDescent="0.35">
      <c r="E650" s="13">
        <v>649</v>
      </c>
      <c r="F650" s="12">
        <f t="shared" ca="1" si="12"/>
        <v>5.2408738467741457E-3</v>
      </c>
    </row>
    <row r="651" spans="5:6" x14ac:dyDescent="0.35">
      <c r="E651" s="13">
        <v>650</v>
      </c>
      <c r="F651" s="12">
        <f t="shared" ca="1" si="12"/>
        <v>7.9116699308000044E-3</v>
      </c>
    </row>
    <row r="652" spans="5:6" x14ac:dyDescent="0.35">
      <c r="E652" s="13">
        <v>651</v>
      </c>
      <c r="F652" s="12">
        <f t="shared" ca="1" si="12"/>
        <v>-6.3616277504216431E-3</v>
      </c>
    </row>
    <row r="653" spans="5:6" x14ac:dyDescent="0.35">
      <c r="E653" s="13">
        <v>652</v>
      </c>
      <c r="F653" s="12">
        <f t="shared" ca="1" si="12"/>
        <v>-2.6456871577370769E-2</v>
      </c>
    </row>
    <row r="654" spans="5:6" x14ac:dyDescent="0.35">
      <c r="E654" s="13">
        <v>653</v>
      </c>
      <c r="F654" s="12">
        <f t="shared" ca="1" si="12"/>
        <v>2.5814510600456607E-2</v>
      </c>
    </row>
    <row r="655" spans="5:6" x14ac:dyDescent="0.35">
      <c r="E655" s="13">
        <v>654</v>
      </c>
      <c r="F655" s="12">
        <f t="shared" ca="1" si="12"/>
        <v>-1.2378667943924653E-2</v>
      </c>
    </row>
    <row r="656" spans="5:6" x14ac:dyDescent="0.35">
      <c r="E656" s="13">
        <v>655</v>
      </c>
      <c r="F656" s="12">
        <f t="shared" ca="1" si="12"/>
        <v>-9.8144815825228077E-3</v>
      </c>
    </row>
    <row r="657" spans="5:6" x14ac:dyDescent="0.35">
      <c r="E657" s="13">
        <v>656</v>
      </c>
      <c r="F657" s="12">
        <f t="shared" ca="1" si="12"/>
        <v>2.2450036555047775E-2</v>
      </c>
    </row>
    <row r="658" spans="5:6" x14ac:dyDescent="0.35">
      <c r="E658" s="13">
        <v>657</v>
      </c>
      <c r="F658" s="12">
        <f t="shared" ca="1" si="12"/>
        <v>-2.5308780649662649E-3</v>
      </c>
    </row>
    <row r="659" spans="5:6" x14ac:dyDescent="0.35">
      <c r="E659" s="13">
        <v>658</v>
      </c>
      <c r="F659" s="12">
        <f t="shared" ca="1" si="12"/>
        <v>3.3676125611501191E-2</v>
      </c>
    </row>
    <row r="660" spans="5:6" x14ac:dyDescent="0.35">
      <c r="E660" s="13">
        <v>659</v>
      </c>
      <c r="F660" s="12">
        <f t="shared" ca="1" si="12"/>
        <v>1.8360570910726974E-3</v>
      </c>
    </row>
    <row r="661" spans="5:6" x14ac:dyDescent="0.35">
      <c r="E661" s="13">
        <v>660</v>
      </c>
      <c r="F661" s="12">
        <f t="shared" ca="1" si="12"/>
        <v>4.428025795461382E-3</v>
      </c>
    </row>
    <row r="662" spans="5:6" x14ac:dyDescent="0.35">
      <c r="E662" s="13">
        <v>661</v>
      </c>
      <c r="F662" s="12">
        <f t="shared" ca="1" si="12"/>
        <v>2.7079631713733836E-2</v>
      </c>
    </row>
    <row r="663" spans="5:6" x14ac:dyDescent="0.35">
      <c r="E663" s="13">
        <v>662</v>
      </c>
      <c r="F663" s="12">
        <f t="shared" ca="1" si="12"/>
        <v>4.2970830407760813E-2</v>
      </c>
    </row>
    <row r="664" spans="5:6" x14ac:dyDescent="0.35">
      <c r="E664" s="13">
        <v>663</v>
      </c>
      <c r="F664" s="12">
        <f t="shared" ca="1" si="12"/>
        <v>-4.9778609447831204E-3</v>
      </c>
    </row>
    <row r="665" spans="5:6" x14ac:dyDescent="0.35">
      <c r="E665" s="13">
        <v>664</v>
      </c>
      <c r="F665" s="12">
        <f t="shared" ca="1" si="12"/>
        <v>-1.6463237622115233E-2</v>
      </c>
    </row>
    <row r="666" spans="5:6" x14ac:dyDescent="0.35">
      <c r="E666" s="13">
        <v>665</v>
      </c>
      <c r="F666" s="12">
        <f t="shared" ca="1" si="12"/>
        <v>-8.9471766297750839E-3</v>
      </c>
    </row>
    <row r="667" spans="5:6" x14ac:dyDescent="0.35">
      <c r="E667" s="13">
        <v>666</v>
      </c>
      <c r="F667" s="12">
        <f t="shared" ca="1" si="12"/>
        <v>-4.7195123548010223E-3</v>
      </c>
    </row>
    <row r="668" spans="5:6" x14ac:dyDescent="0.35">
      <c r="E668" s="13">
        <v>667</v>
      </c>
      <c r="F668" s="12">
        <f t="shared" ca="1" si="12"/>
        <v>1.6350923519508068E-2</v>
      </c>
    </row>
    <row r="669" spans="5:6" x14ac:dyDescent="0.35">
      <c r="E669" s="13">
        <v>668</v>
      </c>
      <c r="F669" s="12">
        <f t="shared" ca="1" si="12"/>
        <v>-9.9828861735041016E-3</v>
      </c>
    </row>
    <row r="670" spans="5:6" x14ac:dyDescent="0.35">
      <c r="E670" s="13">
        <v>669</v>
      </c>
      <c r="F670" s="12">
        <f t="shared" ca="1" si="12"/>
        <v>1.4992192431932817E-2</v>
      </c>
    </row>
    <row r="671" spans="5:6" x14ac:dyDescent="0.35">
      <c r="E671" s="13">
        <v>670</v>
      </c>
      <c r="F671" s="12">
        <f t="shared" ca="1" si="12"/>
        <v>-1.1444181217613848E-2</v>
      </c>
    </row>
    <row r="672" spans="5:6" x14ac:dyDescent="0.35">
      <c r="E672" s="13">
        <v>671</v>
      </c>
      <c r="F672" s="12">
        <f t="shared" ca="1" si="12"/>
        <v>-3.3746155225153561E-3</v>
      </c>
    </row>
    <row r="673" spans="5:6" x14ac:dyDescent="0.35">
      <c r="E673" s="13">
        <v>672</v>
      </c>
      <c r="F673" s="12">
        <f t="shared" ca="1" si="12"/>
        <v>-2.9715538456360775E-2</v>
      </c>
    </row>
    <row r="674" spans="5:6" x14ac:dyDescent="0.35">
      <c r="E674" s="13">
        <v>673</v>
      </c>
      <c r="F674" s="12">
        <f t="shared" ca="1" si="12"/>
        <v>2.9719616838102068E-3</v>
      </c>
    </row>
    <row r="675" spans="5:6" x14ac:dyDescent="0.35">
      <c r="E675" s="13">
        <v>674</v>
      </c>
      <c r="F675" s="12">
        <f t="shared" ca="1" si="12"/>
        <v>-2.121272568454477E-2</v>
      </c>
    </row>
    <row r="676" spans="5:6" x14ac:dyDescent="0.35">
      <c r="E676" s="13">
        <v>675</v>
      </c>
      <c r="F676" s="12">
        <f t="shared" ca="1" si="12"/>
        <v>-9.5766983353169667E-3</v>
      </c>
    </row>
    <row r="677" spans="5:6" x14ac:dyDescent="0.35">
      <c r="E677" s="13">
        <v>676</v>
      </c>
      <c r="F677" s="12">
        <f t="shared" ca="1" si="12"/>
        <v>1.9525737891267211E-2</v>
      </c>
    </row>
    <row r="678" spans="5:6" x14ac:dyDescent="0.35">
      <c r="E678" s="13">
        <v>677</v>
      </c>
      <c r="F678" s="12">
        <f t="shared" ca="1" si="12"/>
        <v>-3.3092583518735542E-2</v>
      </c>
    </row>
    <row r="679" spans="5:6" x14ac:dyDescent="0.35">
      <c r="E679" s="13">
        <v>678</v>
      </c>
      <c r="F679" s="12">
        <f t="shared" ca="1" si="12"/>
        <v>-2.0981752692277446E-3</v>
      </c>
    </row>
    <row r="680" spans="5:6" x14ac:dyDescent="0.35">
      <c r="E680" s="13">
        <v>679</v>
      </c>
      <c r="F680" s="12">
        <f t="shared" ca="1" si="12"/>
        <v>-1.4305293489861835E-2</v>
      </c>
    </row>
    <row r="681" spans="5:6" x14ac:dyDescent="0.35">
      <c r="E681" s="13">
        <v>680</v>
      </c>
      <c r="F681" s="12">
        <f t="shared" ca="1" si="12"/>
        <v>1.8574820762234229E-3</v>
      </c>
    </row>
    <row r="682" spans="5:6" x14ac:dyDescent="0.35">
      <c r="E682" s="13">
        <v>681</v>
      </c>
      <c r="F682" s="12">
        <f t="shared" ca="1" si="12"/>
        <v>-2.6557112201177163E-2</v>
      </c>
    </row>
    <row r="683" spans="5:6" x14ac:dyDescent="0.35">
      <c r="E683" s="13">
        <v>682</v>
      </c>
      <c r="F683" s="12">
        <f t="shared" ca="1" si="12"/>
        <v>-8.7800122894980811E-4</v>
      </c>
    </row>
    <row r="684" spans="5:6" x14ac:dyDescent="0.35">
      <c r="E684" s="13">
        <v>683</v>
      </c>
      <c r="F684" s="12">
        <f t="shared" ca="1" si="12"/>
        <v>1.9163848384510906E-2</v>
      </c>
    </row>
    <row r="685" spans="5:6" x14ac:dyDescent="0.35">
      <c r="E685" s="13">
        <v>684</v>
      </c>
      <c r="F685" s="12">
        <f t="shared" ca="1" si="12"/>
        <v>1.2779790192334517E-2</v>
      </c>
    </row>
    <row r="686" spans="5:6" x14ac:dyDescent="0.35">
      <c r="E686" s="13">
        <v>685</v>
      </c>
      <c r="F686" s="12">
        <f t="shared" ca="1" si="12"/>
        <v>1.0070522905955242E-2</v>
      </c>
    </row>
    <row r="687" spans="5:6" x14ac:dyDescent="0.35">
      <c r="E687" s="13">
        <v>686</v>
      </c>
      <c r="F687" s="12">
        <f t="shared" ca="1" si="12"/>
        <v>-2.4449413655737592E-2</v>
      </c>
    </row>
    <row r="688" spans="5:6" x14ac:dyDescent="0.35">
      <c r="E688" s="13">
        <v>687</v>
      </c>
      <c r="F688" s="12">
        <f t="shared" ca="1" si="12"/>
        <v>-7.8715046735377625E-4</v>
      </c>
    </row>
    <row r="689" spans="5:6" x14ac:dyDescent="0.35">
      <c r="E689" s="13">
        <v>688</v>
      </c>
      <c r="F689" s="12">
        <f t="shared" ca="1" si="12"/>
        <v>-1.5878635860474385E-2</v>
      </c>
    </row>
    <row r="690" spans="5:6" x14ac:dyDescent="0.35">
      <c r="E690" s="13">
        <v>689</v>
      </c>
      <c r="F690" s="12">
        <f t="shared" ca="1" si="12"/>
        <v>-5.0181217113393038E-3</v>
      </c>
    </row>
    <row r="691" spans="5:6" x14ac:dyDescent="0.35">
      <c r="E691" s="13">
        <v>690</v>
      </c>
      <c r="F691" s="12">
        <f t="shared" ca="1" si="12"/>
        <v>-1.0711624818421561E-2</v>
      </c>
    </row>
    <row r="692" spans="5:6" x14ac:dyDescent="0.35">
      <c r="E692" s="13">
        <v>691</v>
      </c>
      <c r="F692" s="12">
        <f t="shared" ca="1" si="12"/>
        <v>1.3898818342613316E-2</v>
      </c>
    </row>
    <row r="693" spans="5:6" x14ac:dyDescent="0.35">
      <c r="E693" s="13">
        <v>692</v>
      </c>
      <c r="F693" s="12">
        <f t="shared" ca="1" si="12"/>
        <v>1.6680610049005364E-2</v>
      </c>
    </row>
    <row r="694" spans="5:6" x14ac:dyDescent="0.35">
      <c r="E694" s="13">
        <v>693</v>
      </c>
      <c r="F694" s="12">
        <f t="shared" ca="1" si="12"/>
        <v>-3.3145002001240598E-2</v>
      </c>
    </row>
    <row r="695" spans="5:6" x14ac:dyDescent="0.35">
      <c r="E695" s="13">
        <v>694</v>
      </c>
      <c r="F695" s="12">
        <f t="shared" ca="1" si="12"/>
        <v>-1.2633076576557571E-2</v>
      </c>
    </row>
    <row r="696" spans="5:6" x14ac:dyDescent="0.35">
      <c r="E696" s="13">
        <v>695</v>
      </c>
      <c r="F696" s="12">
        <f t="shared" ca="1" si="12"/>
        <v>7.0943337576995593E-4</v>
      </c>
    </row>
    <row r="697" spans="5:6" x14ac:dyDescent="0.35">
      <c r="E697" s="13">
        <v>696</v>
      </c>
      <c r="F697" s="12">
        <f t="shared" ca="1" si="12"/>
        <v>-2.0211021741607892E-2</v>
      </c>
    </row>
    <row r="698" spans="5:6" x14ac:dyDescent="0.35">
      <c r="E698" s="13">
        <v>697</v>
      </c>
      <c r="F698" s="12">
        <f t="shared" ca="1" si="12"/>
        <v>1.3599854201413615E-2</v>
      </c>
    </row>
    <row r="699" spans="5:6" x14ac:dyDescent="0.35">
      <c r="E699" s="13">
        <v>698</v>
      </c>
      <c r="F699" s="12">
        <f t="shared" ca="1" si="12"/>
        <v>1.2221220366376523E-2</v>
      </c>
    </row>
    <row r="700" spans="5:6" x14ac:dyDescent="0.35">
      <c r="E700" s="13">
        <v>699</v>
      </c>
      <c r="F700" s="12">
        <f t="shared" ca="1" si="12"/>
        <v>-7.2485604363711851E-3</v>
      </c>
    </row>
    <row r="701" spans="5:6" x14ac:dyDescent="0.35">
      <c r="E701" s="13">
        <v>700</v>
      </c>
      <c r="F701" s="12">
        <f t="shared" ca="1" si="12"/>
        <v>-7.0732025925066989E-3</v>
      </c>
    </row>
    <row r="702" spans="5:6" x14ac:dyDescent="0.35">
      <c r="E702" s="13">
        <v>701</v>
      </c>
      <c r="F702" s="12">
        <f t="shared" ca="1" si="12"/>
        <v>-7.5357753541462373E-4</v>
      </c>
    </row>
    <row r="703" spans="5:6" x14ac:dyDescent="0.35">
      <c r="E703" s="13">
        <v>702</v>
      </c>
      <c r="F703" s="12">
        <f t="shared" ca="1" si="12"/>
        <v>-5.78184645148061E-3</v>
      </c>
    </row>
    <row r="704" spans="5:6" x14ac:dyDescent="0.35">
      <c r="E704" s="13">
        <v>703</v>
      </c>
      <c r="F704" s="12">
        <f t="shared" ca="1" si="12"/>
        <v>-8.8708816068691337E-3</v>
      </c>
    </row>
    <row r="705" spans="5:6" x14ac:dyDescent="0.35">
      <c r="E705" s="13">
        <v>704</v>
      </c>
      <c r="F705" s="12">
        <f t="shared" ca="1" si="12"/>
        <v>1.7718533773473003E-2</v>
      </c>
    </row>
    <row r="706" spans="5:6" x14ac:dyDescent="0.35">
      <c r="E706" s="13">
        <v>705</v>
      </c>
      <c r="F706" s="12">
        <f t="shared" ca="1" si="12"/>
        <v>1.7704441944669715E-2</v>
      </c>
    </row>
    <row r="707" spans="5:6" x14ac:dyDescent="0.35">
      <c r="E707" s="13">
        <v>706</v>
      </c>
      <c r="F707" s="12">
        <f t="shared" ref="F707:F770" ca="1" si="13">_xlfn.NORM.INV(RAND(),$I$3,$I$4)</f>
        <v>-9.0063309187975223E-3</v>
      </c>
    </row>
    <row r="708" spans="5:6" x14ac:dyDescent="0.35">
      <c r="E708" s="13">
        <v>707</v>
      </c>
      <c r="F708" s="12">
        <f t="shared" ca="1" si="13"/>
        <v>1.4707688363647681E-2</v>
      </c>
    </row>
    <row r="709" spans="5:6" x14ac:dyDescent="0.35">
      <c r="E709" s="13">
        <v>708</v>
      </c>
      <c r="F709" s="12">
        <f t="shared" ca="1" si="13"/>
        <v>4.6878696311747237E-2</v>
      </c>
    </row>
    <row r="710" spans="5:6" x14ac:dyDescent="0.35">
      <c r="E710" s="13">
        <v>709</v>
      </c>
      <c r="F710" s="12">
        <f t="shared" ca="1" si="13"/>
        <v>-6.0013715719660007E-3</v>
      </c>
    </row>
    <row r="711" spans="5:6" x14ac:dyDescent="0.35">
      <c r="E711" s="13">
        <v>710</v>
      </c>
      <c r="F711" s="12">
        <f t="shared" ca="1" si="13"/>
        <v>-4.3569747637526156E-2</v>
      </c>
    </row>
    <row r="712" spans="5:6" x14ac:dyDescent="0.35">
      <c r="E712" s="13">
        <v>711</v>
      </c>
      <c r="F712" s="12">
        <f t="shared" ca="1" si="13"/>
        <v>1.0479158776632348E-2</v>
      </c>
    </row>
    <row r="713" spans="5:6" x14ac:dyDescent="0.35">
      <c r="E713" s="13">
        <v>712</v>
      </c>
      <c r="F713" s="12">
        <f t="shared" ca="1" si="13"/>
        <v>-4.2150452713855518E-3</v>
      </c>
    </row>
    <row r="714" spans="5:6" x14ac:dyDescent="0.35">
      <c r="E714" s="13">
        <v>713</v>
      </c>
      <c r="F714" s="12">
        <f t="shared" ca="1" si="13"/>
        <v>-8.6541555574377073E-3</v>
      </c>
    </row>
    <row r="715" spans="5:6" x14ac:dyDescent="0.35">
      <c r="E715" s="13">
        <v>714</v>
      </c>
      <c r="F715" s="12">
        <f t="shared" ca="1" si="13"/>
        <v>-2.9241926314206132E-3</v>
      </c>
    </row>
    <row r="716" spans="5:6" x14ac:dyDescent="0.35">
      <c r="E716" s="13">
        <v>715</v>
      </c>
      <c r="F716" s="12">
        <f t="shared" ca="1" si="13"/>
        <v>3.0138002497114205E-3</v>
      </c>
    </row>
    <row r="717" spans="5:6" x14ac:dyDescent="0.35">
      <c r="E717" s="13">
        <v>716</v>
      </c>
      <c r="F717" s="12">
        <f t="shared" ca="1" si="13"/>
        <v>3.6760464573627839E-2</v>
      </c>
    </row>
    <row r="718" spans="5:6" x14ac:dyDescent="0.35">
      <c r="E718" s="13">
        <v>717</v>
      </c>
      <c r="F718" s="12">
        <f t="shared" ca="1" si="13"/>
        <v>5.2540412077062247E-3</v>
      </c>
    </row>
    <row r="719" spans="5:6" x14ac:dyDescent="0.35">
      <c r="E719" s="13">
        <v>718</v>
      </c>
      <c r="F719" s="12">
        <f t="shared" ca="1" si="13"/>
        <v>-2.7843488600993144E-2</v>
      </c>
    </row>
    <row r="720" spans="5:6" x14ac:dyDescent="0.35">
      <c r="E720" s="13">
        <v>719</v>
      </c>
      <c r="F720" s="12">
        <f t="shared" ca="1" si="13"/>
        <v>-1.2657721938816383E-2</v>
      </c>
    </row>
    <row r="721" spans="5:6" x14ac:dyDescent="0.35">
      <c r="E721" s="13">
        <v>720</v>
      </c>
      <c r="F721" s="12">
        <f t="shared" ca="1" si="13"/>
        <v>-1.4138845101706781E-3</v>
      </c>
    </row>
    <row r="722" spans="5:6" x14ac:dyDescent="0.35">
      <c r="E722" s="13">
        <v>721</v>
      </c>
      <c r="F722" s="12">
        <f t="shared" ca="1" si="13"/>
        <v>-2.0494477844762004E-2</v>
      </c>
    </row>
    <row r="723" spans="5:6" x14ac:dyDescent="0.35">
      <c r="E723" s="13">
        <v>722</v>
      </c>
      <c r="F723" s="12">
        <f t="shared" ca="1" si="13"/>
        <v>-5.8259473860965676E-3</v>
      </c>
    </row>
    <row r="724" spans="5:6" x14ac:dyDescent="0.35">
      <c r="E724" s="13">
        <v>723</v>
      </c>
      <c r="F724" s="12">
        <f t="shared" ca="1" si="13"/>
        <v>-3.3202254683223457E-2</v>
      </c>
    </row>
    <row r="725" spans="5:6" x14ac:dyDescent="0.35">
      <c r="E725" s="13">
        <v>724</v>
      </c>
      <c r="F725" s="12">
        <f t="shared" ca="1" si="13"/>
        <v>-1.1044177086694724E-3</v>
      </c>
    </row>
    <row r="726" spans="5:6" x14ac:dyDescent="0.35">
      <c r="E726" s="13">
        <v>725</v>
      </c>
      <c r="F726" s="12">
        <f t="shared" ca="1" si="13"/>
        <v>4.7528874842235024E-3</v>
      </c>
    </row>
    <row r="727" spans="5:6" x14ac:dyDescent="0.35">
      <c r="E727" s="13">
        <v>726</v>
      </c>
      <c r="F727" s="12">
        <f t="shared" ca="1" si="13"/>
        <v>-1.8518715739987705E-4</v>
      </c>
    </row>
    <row r="728" spans="5:6" x14ac:dyDescent="0.35">
      <c r="E728" s="13">
        <v>727</v>
      </c>
      <c r="F728" s="12">
        <f t="shared" ca="1" si="13"/>
        <v>-1.7892382969949435E-2</v>
      </c>
    </row>
    <row r="729" spans="5:6" x14ac:dyDescent="0.35">
      <c r="E729" s="13">
        <v>728</v>
      </c>
      <c r="F729" s="12">
        <f t="shared" ca="1" si="13"/>
        <v>-2.1463314437772441E-2</v>
      </c>
    </row>
    <row r="730" spans="5:6" x14ac:dyDescent="0.35">
      <c r="E730" s="13">
        <v>729</v>
      </c>
      <c r="F730" s="12">
        <f t="shared" ca="1" si="13"/>
        <v>2.3942837264381948E-3</v>
      </c>
    </row>
    <row r="731" spans="5:6" x14ac:dyDescent="0.35">
      <c r="E731" s="13">
        <v>730</v>
      </c>
      <c r="F731" s="12">
        <f t="shared" ca="1" si="13"/>
        <v>8.6954515808428112E-3</v>
      </c>
    </row>
    <row r="732" spans="5:6" x14ac:dyDescent="0.35">
      <c r="E732" s="13">
        <v>731</v>
      </c>
      <c r="F732" s="12">
        <f t="shared" ca="1" si="13"/>
        <v>1.1727450356224809E-2</v>
      </c>
    </row>
    <row r="733" spans="5:6" x14ac:dyDescent="0.35">
      <c r="E733" s="13">
        <v>732</v>
      </c>
      <c r="F733" s="12">
        <f t="shared" ca="1" si="13"/>
        <v>-4.1206144080412899E-3</v>
      </c>
    </row>
    <row r="734" spans="5:6" x14ac:dyDescent="0.35">
      <c r="E734" s="13">
        <v>733</v>
      </c>
      <c r="F734" s="12">
        <f t="shared" ca="1" si="13"/>
        <v>2.1264302955759141E-2</v>
      </c>
    </row>
    <row r="735" spans="5:6" x14ac:dyDescent="0.35">
      <c r="E735" s="13">
        <v>734</v>
      </c>
      <c r="F735" s="12">
        <f t="shared" ca="1" si="13"/>
        <v>1.5496167663509111E-3</v>
      </c>
    </row>
    <row r="736" spans="5:6" x14ac:dyDescent="0.35">
      <c r="E736" s="13">
        <v>735</v>
      </c>
      <c r="F736" s="12">
        <f t="shared" ca="1" si="13"/>
        <v>-2.9630760233999624E-2</v>
      </c>
    </row>
    <row r="737" spans="5:6" x14ac:dyDescent="0.35">
      <c r="E737" s="13">
        <v>736</v>
      </c>
      <c r="F737" s="12">
        <f t="shared" ca="1" si="13"/>
        <v>1.6800209208679966E-2</v>
      </c>
    </row>
    <row r="738" spans="5:6" x14ac:dyDescent="0.35">
      <c r="E738" s="13">
        <v>737</v>
      </c>
      <c r="F738" s="12">
        <f t="shared" ca="1" si="13"/>
        <v>-1.3803895734485835E-2</v>
      </c>
    </row>
    <row r="739" spans="5:6" x14ac:dyDescent="0.35">
      <c r="E739" s="13">
        <v>738</v>
      </c>
      <c r="F739" s="12">
        <f t="shared" ca="1" si="13"/>
        <v>-1.9678927345701397E-2</v>
      </c>
    </row>
    <row r="740" spans="5:6" x14ac:dyDescent="0.35">
      <c r="E740" s="13">
        <v>739</v>
      </c>
      <c r="F740" s="12">
        <f t="shared" ca="1" si="13"/>
        <v>1.3339661101104416E-2</v>
      </c>
    </row>
    <row r="741" spans="5:6" x14ac:dyDescent="0.35">
      <c r="E741" s="13">
        <v>740</v>
      </c>
      <c r="F741" s="12">
        <f t="shared" ca="1" si="13"/>
        <v>4.0380182657467917E-3</v>
      </c>
    </row>
    <row r="742" spans="5:6" x14ac:dyDescent="0.35">
      <c r="E742" s="13">
        <v>741</v>
      </c>
      <c r="F742" s="12">
        <f t="shared" ca="1" si="13"/>
        <v>1.805149087906948E-2</v>
      </c>
    </row>
    <row r="743" spans="5:6" x14ac:dyDescent="0.35">
      <c r="E743" s="13">
        <v>742</v>
      </c>
      <c r="F743" s="12">
        <f t="shared" ca="1" si="13"/>
        <v>1.2182734565941133E-2</v>
      </c>
    </row>
    <row r="744" spans="5:6" x14ac:dyDescent="0.35">
      <c r="E744" s="13">
        <v>743</v>
      </c>
      <c r="F744" s="12">
        <f t="shared" ca="1" si="13"/>
        <v>-2.2266387634302668E-2</v>
      </c>
    </row>
    <row r="745" spans="5:6" x14ac:dyDescent="0.35">
      <c r="E745" s="13">
        <v>744</v>
      </c>
      <c r="F745" s="12">
        <f t="shared" ca="1" si="13"/>
        <v>1.6382027294164062E-2</v>
      </c>
    </row>
    <row r="746" spans="5:6" x14ac:dyDescent="0.35">
      <c r="E746" s="13">
        <v>745</v>
      </c>
      <c r="F746" s="12">
        <f t="shared" ca="1" si="13"/>
        <v>-9.3410212887932009E-3</v>
      </c>
    </row>
    <row r="747" spans="5:6" x14ac:dyDescent="0.35">
      <c r="E747" s="13">
        <v>746</v>
      </c>
      <c r="F747" s="12">
        <f t="shared" ca="1" si="13"/>
        <v>1.7594023347738415E-2</v>
      </c>
    </row>
    <row r="748" spans="5:6" x14ac:dyDescent="0.35">
      <c r="E748" s="13">
        <v>747</v>
      </c>
      <c r="F748" s="12">
        <f t="shared" ca="1" si="13"/>
        <v>-2.2654383443046704E-2</v>
      </c>
    </row>
    <row r="749" spans="5:6" x14ac:dyDescent="0.35">
      <c r="E749" s="13">
        <v>748</v>
      </c>
      <c r="F749" s="12">
        <f t="shared" ca="1" si="13"/>
        <v>2.0156992843258219E-2</v>
      </c>
    </row>
    <row r="750" spans="5:6" x14ac:dyDescent="0.35">
      <c r="E750" s="13">
        <v>749</v>
      </c>
      <c r="F750" s="12">
        <f t="shared" ca="1" si="13"/>
        <v>-1.206162983347317E-3</v>
      </c>
    </row>
    <row r="751" spans="5:6" x14ac:dyDescent="0.35">
      <c r="E751" s="13">
        <v>750</v>
      </c>
      <c r="F751" s="12">
        <f t="shared" ca="1" si="13"/>
        <v>-4.3760846444622546E-2</v>
      </c>
    </row>
    <row r="752" spans="5:6" x14ac:dyDescent="0.35">
      <c r="E752" s="13">
        <v>751</v>
      </c>
      <c r="F752" s="12">
        <f t="shared" ca="1" si="13"/>
        <v>2.8724415966320939E-3</v>
      </c>
    </row>
    <row r="753" spans="5:6" x14ac:dyDescent="0.35">
      <c r="E753" s="13">
        <v>752</v>
      </c>
      <c r="F753" s="12">
        <f t="shared" ca="1" si="13"/>
        <v>-2.1123421112773533E-2</v>
      </c>
    </row>
    <row r="754" spans="5:6" x14ac:dyDescent="0.35">
      <c r="E754" s="13">
        <v>753</v>
      </c>
      <c r="F754" s="12">
        <f t="shared" ca="1" si="13"/>
        <v>-2.0403822088808962E-2</v>
      </c>
    </row>
    <row r="755" spans="5:6" x14ac:dyDescent="0.35">
      <c r="E755" s="13">
        <v>754</v>
      </c>
      <c r="F755" s="12">
        <f t="shared" ca="1" si="13"/>
        <v>-1.1381930644138455E-2</v>
      </c>
    </row>
    <row r="756" spans="5:6" x14ac:dyDescent="0.35">
      <c r="E756" s="13">
        <v>755</v>
      </c>
      <c r="F756" s="12">
        <f t="shared" ca="1" si="13"/>
        <v>-9.6927453709331444E-3</v>
      </c>
    </row>
    <row r="757" spans="5:6" x14ac:dyDescent="0.35">
      <c r="E757" s="13">
        <v>756</v>
      </c>
      <c r="F757" s="12">
        <f t="shared" ca="1" si="13"/>
        <v>3.5886826690722444E-4</v>
      </c>
    </row>
    <row r="758" spans="5:6" x14ac:dyDescent="0.35">
      <c r="E758" s="13">
        <v>757</v>
      </c>
      <c r="F758" s="12">
        <f t="shared" ca="1" si="13"/>
        <v>-5.8005009077285816E-3</v>
      </c>
    </row>
    <row r="759" spans="5:6" x14ac:dyDescent="0.35">
      <c r="E759" s="13">
        <v>758</v>
      </c>
      <c r="F759" s="12">
        <f t="shared" ca="1" si="13"/>
        <v>1.5013837889046878E-2</v>
      </c>
    </row>
    <row r="760" spans="5:6" x14ac:dyDescent="0.35">
      <c r="E760" s="13">
        <v>759</v>
      </c>
      <c r="F760" s="12">
        <f t="shared" ca="1" si="13"/>
        <v>1.7627671687245913E-4</v>
      </c>
    </row>
    <row r="761" spans="5:6" x14ac:dyDescent="0.35">
      <c r="E761" s="13">
        <v>760</v>
      </c>
      <c r="F761" s="12">
        <f t="shared" ca="1" si="13"/>
        <v>-7.1094604575370497E-3</v>
      </c>
    </row>
    <row r="762" spans="5:6" x14ac:dyDescent="0.35">
      <c r="E762" s="13">
        <v>761</v>
      </c>
      <c r="F762" s="12">
        <f t="shared" ca="1" si="13"/>
        <v>-2.4343380774919068E-2</v>
      </c>
    </row>
    <row r="763" spans="5:6" x14ac:dyDescent="0.35">
      <c r="E763" s="13">
        <v>762</v>
      </c>
      <c r="F763" s="12">
        <f t="shared" ca="1" si="13"/>
        <v>-4.5168719125045567E-3</v>
      </c>
    </row>
    <row r="764" spans="5:6" x14ac:dyDescent="0.35">
      <c r="E764" s="13">
        <v>763</v>
      </c>
      <c r="F764" s="12">
        <f t="shared" ca="1" si="13"/>
        <v>4.6403860741200589E-3</v>
      </c>
    </row>
    <row r="765" spans="5:6" x14ac:dyDescent="0.35">
      <c r="E765" s="13">
        <v>764</v>
      </c>
      <c r="F765" s="12">
        <f t="shared" ca="1" si="13"/>
        <v>-2.0055183948507867E-2</v>
      </c>
    </row>
    <row r="766" spans="5:6" x14ac:dyDescent="0.35">
      <c r="E766" s="13">
        <v>765</v>
      </c>
      <c r="F766" s="12">
        <f t="shared" ca="1" si="13"/>
        <v>-5.3635499156003304E-3</v>
      </c>
    </row>
    <row r="767" spans="5:6" x14ac:dyDescent="0.35">
      <c r="E767" s="13">
        <v>766</v>
      </c>
      <c r="F767" s="12">
        <f t="shared" ca="1" si="13"/>
        <v>2.5913644158987382E-2</v>
      </c>
    </row>
    <row r="768" spans="5:6" x14ac:dyDescent="0.35">
      <c r="E768" s="13">
        <v>767</v>
      </c>
      <c r="F768" s="12">
        <f t="shared" ca="1" si="13"/>
        <v>2.4763131703067355E-2</v>
      </c>
    </row>
    <row r="769" spans="5:6" x14ac:dyDescent="0.35">
      <c r="E769" s="13">
        <v>768</v>
      </c>
      <c r="F769" s="12">
        <f t="shared" ca="1" si="13"/>
        <v>4.8318842408717755E-3</v>
      </c>
    </row>
    <row r="770" spans="5:6" x14ac:dyDescent="0.35">
      <c r="E770" s="13">
        <v>769</v>
      </c>
      <c r="F770" s="12">
        <f t="shared" ca="1" si="13"/>
        <v>6.846736047995074E-3</v>
      </c>
    </row>
    <row r="771" spans="5:6" x14ac:dyDescent="0.35">
      <c r="E771" s="13">
        <v>770</v>
      </c>
      <c r="F771" s="12">
        <f t="shared" ref="F771:F834" ca="1" si="14">_xlfn.NORM.INV(RAND(),$I$3,$I$4)</f>
        <v>2.0466520790124586E-2</v>
      </c>
    </row>
    <row r="772" spans="5:6" x14ac:dyDescent="0.35">
      <c r="E772" s="13">
        <v>771</v>
      </c>
      <c r="F772" s="12">
        <f t="shared" ca="1" si="14"/>
        <v>-8.4947565141928524E-3</v>
      </c>
    </row>
    <row r="773" spans="5:6" x14ac:dyDescent="0.35">
      <c r="E773" s="13">
        <v>772</v>
      </c>
      <c r="F773" s="12">
        <f t="shared" ca="1" si="14"/>
        <v>-2.0325859206242417E-2</v>
      </c>
    </row>
    <row r="774" spans="5:6" x14ac:dyDescent="0.35">
      <c r="E774" s="13">
        <v>773</v>
      </c>
      <c r="F774" s="12">
        <f t="shared" ca="1" si="14"/>
        <v>-1.1550935052551094E-2</v>
      </c>
    </row>
    <row r="775" spans="5:6" x14ac:dyDescent="0.35">
      <c r="E775" s="13">
        <v>774</v>
      </c>
      <c r="F775" s="12">
        <f t="shared" ca="1" si="14"/>
        <v>5.6839273064155371E-3</v>
      </c>
    </row>
    <row r="776" spans="5:6" x14ac:dyDescent="0.35">
      <c r="E776" s="13">
        <v>775</v>
      </c>
      <c r="F776" s="12">
        <f t="shared" ca="1" si="14"/>
        <v>5.31098247486376E-3</v>
      </c>
    </row>
    <row r="777" spans="5:6" x14ac:dyDescent="0.35">
      <c r="E777" s="13">
        <v>776</v>
      </c>
      <c r="F777" s="12">
        <f t="shared" ca="1" si="14"/>
        <v>-2.0876908669577483E-2</v>
      </c>
    </row>
    <row r="778" spans="5:6" x14ac:dyDescent="0.35">
      <c r="E778" s="13">
        <v>777</v>
      </c>
      <c r="F778" s="12">
        <f t="shared" ca="1" si="14"/>
        <v>5.8014594882029921E-3</v>
      </c>
    </row>
    <row r="779" spans="5:6" x14ac:dyDescent="0.35">
      <c r="E779" s="13">
        <v>778</v>
      </c>
      <c r="F779" s="12">
        <f t="shared" ca="1" si="14"/>
        <v>5.2233095211754055E-3</v>
      </c>
    </row>
    <row r="780" spans="5:6" x14ac:dyDescent="0.35">
      <c r="E780" s="13">
        <v>779</v>
      </c>
      <c r="F780" s="12">
        <f t="shared" ca="1" si="14"/>
        <v>-1.3667120441556661E-3</v>
      </c>
    </row>
    <row r="781" spans="5:6" x14ac:dyDescent="0.35">
      <c r="E781" s="13">
        <v>780</v>
      </c>
      <c r="F781" s="12">
        <f t="shared" ca="1" si="14"/>
        <v>-1.9727666386064051E-3</v>
      </c>
    </row>
    <row r="782" spans="5:6" x14ac:dyDescent="0.35">
      <c r="E782" s="13">
        <v>781</v>
      </c>
      <c r="F782" s="12">
        <f t="shared" ca="1" si="14"/>
        <v>-1.4006100435512387E-2</v>
      </c>
    </row>
    <row r="783" spans="5:6" x14ac:dyDescent="0.35">
      <c r="E783" s="13">
        <v>782</v>
      </c>
      <c r="F783" s="12">
        <f t="shared" ca="1" si="14"/>
        <v>4.844348657630242E-3</v>
      </c>
    </row>
    <row r="784" spans="5:6" x14ac:dyDescent="0.35">
      <c r="E784" s="13">
        <v>783</v>
      </c>
      <c r="F784" s="12">
        <f t="shared" ca="1" si="14"/>
        <v>1.0484827103779808E-2</v>
      </c>
    </row>
    <row r="785" spans="5:6" x14ac:dyDescent="0.35">
      <c r="E785" s="13">
        <v>784</v>
      </c>
      <c r="F785" s="12">
        <f t="shared" ca="1" si="14"/>
        <v>1.1385126211562119E-3</v>
      </c>
    </row>
    <row r="786" spans="5:6" x14ac:dyDescent="0.35">
      <c r="E786" s="13">
        <v>785</v>
      </c>
      <c r="F786" s="12">
        <f t="shared" ca="1" si="14"/>
        <v>-1.926471074685485E-2</v>
      </c>
    </row>
    <row r="787" spans="5:6" x14ac:dyDescent="0.35">
      <c r="E787" s="13">
        <v>786</v>
      </c>
      <c r="F787" s="12">
        <f t="shared" ca="1" si="14"/>
        <v>8.5488418198733356E-3</v>
      </c>
    </row>
    <row r="788" spans="5:6" x14ac:dyDescent="0.35">
      <c r="E788" s="13">
        <v>787</v>
      </c>
      <c r="F788" s="12">
        <f t="shared" ca="1" si="14"/>
        <v>2.4538268667540084E-2</v>
      </c>
    </row>
    <row r="789" spans="5:6" x14ac:dyDescent="0.35">
      <c r="E789" s="13">
        <v>788</v>
      </c>
      <c r="F789" s="12">
        <f t="shared" ca="1" si="14"/>
        <v>-1.0617239862215301E-2</v>
      </c>
    </row>
    <row r="790" spans="5:6" x14ac:dyDescent="0.35">
      <c r="E790" s="13">
        <v>789</v>
      </c>
      <c r="F790" s="12">
        <f t="shared" ca="1" si="14"/>
        <v>1.2241079092984757E-2</v>
      </c>
    </row>
    <row r="791" spans="5:6" x14ac:dyDescent="0.35">
      <c r="E791" s="13">
        <v>790</v>
      </c>
      <c r="F791" s="12">
        <f t="shared" ca="1" si="14"/>
        <v>-1.6579237010667748E-2</v>
      </c>
    </row>
    <row r="792" spans="5:6" x14ac:dyDescent="0.35">
      <c r="E792" s="13">
        <v>791</v>
      </c>
      <c r="F792" s="12">
        <f t="shared" ca="1" si="14"/>
        <v>-2.3418970854025178E-2</v>
      </c>
    </row>
    <row r="793" spans="5:6" x14ac:dyDescent="0.35">
      <c r="E793" s="13">
        <v>792</v>
      </c>
      <c r="F793" s="12">
        <f t="shared" ca="1" si="14"/>
        <v>9.8376724270727474E-3</v>
      </c>
    </row>
    <row r="794" spans="5:6" x14ac:dyDescent="0.35">
      <c r="E794" s="13">
        <v>793</v>
      </c>
      <c r="F794" s="12">
        <f t="shared" ca="1" si="14"/>
        <v>3.7082906920140511E-2</v>
      </c>
    </row>
    <row r="795" spans="5:6" x14ac:dyDescent="0.35">
      <c r="E795" s="13">
        <v>794</v>
      </c>
      <c r="F795" s="12">
        <f t="shared" ca="1" si="14"/>
        <v>1.5923701816536826E-2</v>
      </c>
    </row>
    <row r="796" spans="5:6" x14ac:dyDescent="0.35">
      <c r="E796" s="13">
        <v>795</v>
      </c>
      <c r="F796" s="12">
        <f t="shared" ca="1" si="14"/>
        <v>3.3237662531197913E-2</v>
      </c>
    </row>
    <row r="797" spans="5:6" x14ac:dyDescent="0.35">
      <c r="E797" s="13">
        <v>796</v>
      </c>
      <c r="F797" s="12">
        <f t="shared" ca="1" si="14"/>
        <v>4.62823042843577E-2</v>
      </c>
    </row>
    <row r="798" spans="5:6" x14ac:dyDescent="0.35">
      <c r="E798" s="13">
        <v>797</v>
      </c>
      <c r="F798" s="12">
        <f t="shared" ca="1" si="14"/>
        <v>1.2491212592543351E-2</v>
      </c>
    </row>
    <row r="799" spans="5:6" x14ac:dyDescent="0.35">
      <c r="E799" s="13">
        <v>798</v>
      </c>
      <c r="F799" s="12">
        <f t="shared" ca="1" si="14"/>
        <v>-1.7431188522585229E-2</v>
      </c>
    </row>
    <row r="800" spans="5:6" x14ac:dyDescent="0.35">
      <c r="E800" s="13">
        <v>799</v>
      </c>
      <c r="F800" s="12">
        <f t="shared" ca="1" si="14"/>
        <v>3.3488102515004726E-3</v>
      </c>
    </row>
    <row r="801" spans="5:6" x14ac:dyDescent="0.35">
      <c r="E801" s="13">
        <v>800</v>
      </c>
      <c r="F801" s="12">
        <f t="shared" ca="1" si="14"/>
        <v>7.3598969000848065E-3</v>
      </c>
    </row>
    <row r="802" spans="5:6" x14ac:dyDescent="0.35">
      <c r="E802" s="13">
        <v>801</v>
      </c>
      <c r="F802" s="12">
        <f t="shared" ca="1" si="14"/>
        <v>-1.501847902979005E-2</v>
      </c>
    </row>
    <row r="803" spans="5:6" x14ac:dyDescent="0.35">
      <c r="E803" s="13">
        <v>802</v>
      </c>
      <c r="F803" s="12">
        <f t="shared" ca="1" si="14"/>
        <v>4.5648751691591879E-3</v>
      </c>
    </row>
    <row r="804" spans="5:6" x14ac:dyDescent="0.35">
      <c r="E804" s="13">
        <v>803</v>
      </c>
      <c r="F804" s="12">
        <f t="shared" ca="1" si="14"/>
        <v>1.8513784834084827E-2</v>
      </c>
    </row>
    <row r="805" spans="5:6" x14ac:dyDescent="0.35">
      <c r="E805" s="13">
        <v>804</v>
      </c>
      <c r="F805" s="12">
        <f t="shared" ca="1" si="14"/>
        <v>-5.4290051611716964E-4</v>
      </c>
    </row>
    <row r="806" spans="5:6" x14ac:dyDescent="0.35">
      <c r="E806" s="13">
        <v>805</v>
      </c>
      <c r="F806" s="12">
        <f t="shared" ca="1" si="14"/>
        <v>1.3602419284065316E-2</v>
      </c>
    </row>
    <row r="807" spans="5:6" x14ac:dyDescent="0.35">
      <c r="E807" s="13">
        <v>806</v>
      </c>
      <c r="F807" s="12">
        <f t="shared" ca="1" si="14"/>
        <v>-1.3847680374231732E-2</v>
      </c>
    </row>
    <row r="808" spans="5:6" x14ac:dyDescent="0.35">
      <c r="E808" s="13">
        <v>807</v>
      </c>
      <c r="F808" s="12">
        <f t="shared" ca="1" si="14"/>
        <v>7.4059456291165737E-3</v>
      </c>
    </row>
    <row r="809" spans="5:6" x14ac:dyDescent="0.35">
      <c r="E809" s="13">
        <v>808</v>
      </c>
      <c r="F809" s="12">
        <f t="shared" ca="1" si="14"/>
        <v>1.2236674062342493E-2</v>
      </c>
    </row>
    <row r="810" spans="5:6" x14ac:dyDescent="0.35">
      <c r="E810" s="13">
        <v>809</v>
      </c>
      <c r="F810" s="12">
        <f t="shared" ca="1" si="14"/>
        <v>-1.9563873430351982E-2</v>
      </c>
    </row>
    <row r="811" spans="5:6" x14ac:dyDescent="0.35">
      <c r="E811" s="13">
        <v>810</v>
      </c>
      <c r="F811" s="12">
        <f t="shared" ca="1" si="14"/>
        <v>-1.2430817437182861E-2</v>
      </c>
    </row>
    <row r="812" spans="5:6" x14ac:dyDescent="0.35">
      <c r="E812" s="13">
        <v>811</v>
      </c>
      <c r="F812" s="12">
        <f t="shared" ca="1" si="14"/>
        <v>1.4757030208200907E-2</v>
      </c>
    </row>
    <row r="813" spans="5:6" x14ac:dyDescent="0.35">
      <c r="E813" s="13">
        <v>812</v>
      </c>
      <c r="F813" s="12">
        <f t="shared" ca="1" si="14"/>
        <v>6.039532839244497E-3</v>
      </c>
    </row>
    <row r="814" spans="5:6" x14ac:dyDescent="0.35">
      <c r="E814" s="13">
        <v>813</v>
      </c>
      <c r="F814" s="12">
        <f t="shared" ca="1" si="14"/>
        <v>9.7634969740585231E-4</v>
      </c>
    </row>
    <row r="815" spans="5:6" x14ac:dyDescent="0.35">
      <c r="E815" s="13">
        <v>814</v>
      </c>
      <c r="F815" s="12">
        <f t="shared" ca="1" si="14"/>
        <v>9.7972417628410038E-3</v>
      </c>
    </row>
    <row r="816" spans="5:6" x14ac:dyDescent="0.35">
      <c r="E816" s="13">
        <v>815</v>
      </c>
      <c r="F816" s="12">
        <f t="shared" ca="1" si="14"/>
        <v>2.9293508343198341E-2</v>
      </c>
    </row>
    <row r="817" spans="5:6" x14ac:dyDescent="0.35">
      <c r="E817" s="13">
        <v>816</v>
      </c>
      <c r="F817" s="12">
        <f t="shared" ca="1" si="14"/>
        <v>-3.3349788650649595E-2</v>
      </c>
    </row>
    <row r="818" spans="5:6" x14ac:dyDescent="0.35">
      <c r="E818" s="13">
        <v>817</v>
      </c>
      <c r="F818" s="12">
        <f t="shared" ca="1" si="14"/>
        <v>-4.4032855129314263E-3</v>
      </c>
    </row>
    <row r="819" spans="5:6" x14ac:dyDescent="0.35">
      <c r="E819" s="13">
        <v>818</v>
      </c>
      <c r="F819" s="12">
        <f t="shared" ca="1" si="14"/>
        <v>-1.3681760730833857E-3</v>
      </c>
    </row>
    <row r="820" spans="5:6" x14ac:dyDescent="0.35">
      <c r="E820" s="13">
        <v>819</v>
      </c>
      <c r="F820" s="12">
        <f t="shared" ca="1" si="14"/>
        <v>1.8619583857846501E-2</v>
      </c>
    </row>
    <row r="821" spans="5:6" x14ac:dyDescent="0.35">
      <c r="E821" s="13">
        <v>820</v>
      </c>
      <c r="F821" s="12">
        <f t="shared" ca="1" si="14"/>
        <v>3.3017923012423539E-2</v>
      </c>
    </row>
    <row r="822" spans="5:6" x14ac:dyDescent="0.35">
      <c r="E822" s="13">
        <v>821</v>
      </c>
      <c r="F822" s="12">
        <f t="shared" ca="1" si="14"/>
        <v>-1.6027825220539096E-2</v>
      </c>
    </row>
    <row r="823" spans="5:6" x14ac:dyDescent="0.35">
      <c r="E823" s="13">
        <v>822</v>
      </c>
      <c r="F823" s="12">
        <f t="shared" ca="1" si="14"/>
        <v>-1.5113127540082587E-2</v>
      </c>
    </row>
    <row r="824" spans="5:6" x14ac:dyDescent="0.35">
      <c r="E824" s="13">
        <v>823</v>
      </c>
      <c r="F824" s="12">
        <f t="shared" ca="1" si="14"/>
        <v>1.817228226126559E-2</v>
      </c>
    </row>
    <row r="825" spans="5:6" x14ac:dyDescent="0.35">
      <c r="E825" s="13">
        <v>824</v>
      </c>
      <c r="F825" s="12">
        <f t="shared" ca="1" si="14"/>
        <v>-1.5188428401342054E-2</v>
      </c>
    </row>
    <row r="826" spans="5:6" x14ac:dyDescent="0.35">
      <c r="E826" s="13">
        <v>825</v>
      </c>
      <c r="F826" s="12">
        <f t="shared" ca="1" si="14"/>
        <v>2.7153775366882214E-2</v>
      </c>
    </row>
    <row r="827" spans="5:6" x14ac:dyDescent="0.35">
      <c r="E827" s="13">
        <v>826</v>
      </c>
      <c r="F827" s="12">
        <f t="shared" ca="1" si="14"/>
        <v>2.5690056555830302E-3</v>
      </c>
    </row>
    <row r="828" spans="5:6" x14ac:dyDescent="0.35">
      <c r="E828" s="13">
        <v>827</v>
      </c>
      <c r="F828" s="12">
        <f t="shared" ca="1" si="14"/>
        <v>-1.4484278495800339E-3</v>
      </c>
    </row>
    <row r="829" spans="5:6" x14ac:dyDescent="0.35">
      <c r="E829" s="13">
        <v>828</v>
      </c>
      <c r="F829" s="12">
        <f t="shared" ca="1" si="14"/>
        <v>-1.0680020314317237E-3</v>
      </c>
    </row>
    <row r="830" spans="5:6" x14ac:dyDescent="0.35">
      <c r="E830" s="13">
        <v>829</v>
      </c>
      <c r="F830" s="12">
        <f t="shared" ca="1" si="14"/>
        <v>5.2369669347720202E-3</v>
      </c>
    </row>
    <row r="831" spans="5:6" x14ac:dyDescent="0.35">
      <c r="E831" s="13">
        <v>830</v>
      </c>
      <c r="F831" s="12">
        <f t="shared" ca="1" si="14"/>
        <v>2.0635743340000689E-2</v>
      </c>
    </row>
    <row r="832" spans="5:6" x14ac:dyDescent="0.35">
      <c r="E832" s="13">
        <v>831</v>
      </c>
      <c r="F832" s="12">
        <f t="shared" ca="1" si="14"/>
        <v>3.187851532986531E-3</v>
      </c>
    </row>
    <row r="833" spans="5:6" x14ac:dyDescent="0.35">
      <c r="E833" s="13">
        <v>832</v>
      </c>
      <c r="F833" s="12">
        <f t="shared" ca="1" si="14"/>
        <v>-3.8361716152307524E-3</v>
      </c>
    </row>
    <row r="834" spans="5:6" x14ac:dyDescent="0.35">
      <c r="E834" s="13">
        <v>833</v>
      </c>
      <c r="F834" s="12">
        <f t="shared" ca="1" si="14"/>
        <v>4.0034472833766974E-3</v>
      </c>
    </row>
    <row r="835" spans="5:6" x14ac:dyDescent="0.35">
      <c r="E835" s="13">
        <v>834</v>
      </c>
      <c r="F835" s="12">
        <f t="shared" ref="F835:F898" ca="1" si="15">_xlfn.NORM.INV(RAND(),$I$3,$I$4)</f>
        <v>7.5527028926635469E-3</v>
      </c>
    </row>
    <row r="836" spans="5:6" x14ac:dyDescent="0.35">
      <c r="E836" s="13">
        <v>835</v>
      </c>
      <c r="F836" s="12">
        <f t="shared" ca="1" si="15"/>
        <v>-4.0791483848451569E-3</v>
      </c>
    </row>
    <row r="837" spans="5:6" x14ac:dyDescent="0.35">
      <c r="E837" s="13">
        <v>836</v>
      </c>
      <c r="F837" s="12">
        <f t="shared" ca="1" si="15"/>
        <v>-5.647292320007536E-4</v>
      </c>
    </row>
    <row r="838" spans="5:6" x14ac:dyDescent="0.35">
      <c r="E838" s="13">
        <v>837</v>
      </c>
      <c r="F838" s="12">
        <f t="shared" ca="1" si="15"/>
        <v>1.4050040494448829E-2</v>
      </c>
    </row>
    <row r="839" spans="5:6" x14ac:dyDescent="0.35">
      <c r="E839" s="13">
        <v>838</v>
      </c>
      <c r="F839" s="12">
        <f t="shared" ca="1" si="15"/>
        <v>4.0561561738116127E-3</v>
      </c>
    </row>
    <row r="840" spans="5:6" x14ac:dyDescent="0.35">
      <c r="E840" s="13">
        <v>839</v>
      </c>
      <c r="F840" s="12">
        <f t="shared" ca="1" si="15"/>
        <v>7.9217190114585761E-3</v>
      </c>
    </row>
    <row r="841" spans="5:6" x14ac:dyDescent="0.35">
      <c r="E841" s="13">
        <v>840</v>
      </c>
      <c r="F841" s="12">
        <f t="shared" ca="1" si="15"/>
        <v>-4.5864841333429468E-2</v>
      </c>
    </row>
    <row r="842" spans="5:6" x14ac:dyDescent="0.35">
      <c r="E842" s="13">
        <v>841</v>
      </c>
      <c r="F842" s="12">
        <f t="shared" ca="1" si="15"/>
        <v>-9.7691593094296671E-3</v>
      </c>
    </row>
    <row r="843" spans="5:6" x14ac:dyDescent="0.35">
      <c r="E843" s="13">
        <v>842</v>
      </c>
      <c r="F843" s="12">
        <f t="shared" ca="1" si="15"/>
        <v>1.697285404096685E-2</v>
      </c>
    </row>
    <row r="844" spans="5:6" x14ac:dyDescent="0.35">
      <c r="E844" s="13">
        <v>843</v>
      </c>
      <c r="F844" s="12">
        <f t="shared" ca="1" si="15"/>
        <v>-1.1903979145374138E-2</v>
      </c>
    </row>
    <row r="845" spans="5:6" x14ac:dyDescent="0.35">
      <c r="E845" s="13">
        <v>844</v>
      </c>
      <c r="F845" s="12">
        <f t="shared" ca="1" si="15"/>
        <v>4.6190372488305164E-3</v>
      </c>
    </row>
    <row r="846" spans="5:6" x14ac:dyDescent="0.35">
      <c r="E846" s="13">
        <v>845</v>
      </c>
      <c r="F846" s="12">
        <f t="shared" ca="1" si="15"/>
        <v>1.9128452156812901E-3</v>
      </c>
    </row>
    <row r="847" spans="5:6" x14ac:dyDescent="0.35">
      <c r="E847" s="13">
        <v>846</v>
      </c>
      <c r="F847" s="12">
        <f t="shared" ca="1" si="15"/>
        <v>1.1688317643708191E-2</v>
      </c>
    </row>
    <row r="848" spans="5:6" x14ac:dyDescent="0.35">
      <c r="E848" s="13">
        <v>847</v>
      </c>
      <c r="F848" s="12">
        <f t="shared" ca="1" si="15"/>
        <v>1.1996655922851002E-2</v>
      </c>
    </row>
    <row r="849" spans="5:6" x14ac:dyDescent="0.35">
      <c r="E849" s="13">
        <v>848</v>
      </c>
      <c r="F849" s="12">
        <f t="shared" ca="1" si="15"/>
        <v>-6.2407255117183282E-4</v>
      </c>
    </row>
    <row r="850" spans="5:6" x14ac:dyDescent="0.35">
      <c r="E850" s="13">
        <v>849</v>
      </c>
      <c r="F850" s="12">
        <f t="shared" ca="1" si="15"/>
        <v>-2.1725357205078379E-2</v>
      </c>
    </row>
    <row r="851" spans="5:6" x14ac:dyDescent="0.35">
      <c r="E851" s="13">
        <v>850</v>
      </c>
      <c r="F851" s="12">
        <f t="shared" ca="1" si="15"/>
        <v>-2.2858842017069506E-2</v>
      </c>
    </row>
    <row r="852" spans="5:6" x14ac:dyDescent="0.35">
      <c r="E852" s="13">
        <v>851</v>
      </c>
      <c r="F852" s="12">
        <f t="shared" ca="1" si="15"/>
        <v>1.8597162744951289E-2</v>
      </c>
    </row>
    <row r="853" spans="5:6" x14ac:dyDescent="0.35">
      <c r="E853" s="13">
        <v>852</v>
      </c>
      <c r="F853" s="12">
        <f t="shared" ca="1" si="15"/>
        <v>1.3309393540897748E-2</v>
      </c>
    </row>
    <row r="854" spans="5:6" x14ac:dyDescent="0.35">
      <c r="E854" s="13">
        <v>853</v>
      </c>
      <c r="F854" s="12">
        <f t="shared" ca="1" si="15"/>
        <v>-1.6793145190660053E-2</v>
      </c>
    </row>
    <row r="855" spans="5:6" x14ac:dyDescent="0.35">
      <c r="E855" s="13">
        <v>854</v>
      </c>
      <c r="F855" s="12">
        <f t="shared" ca="1" si="15"/>
        <v>-1.5965921970672575E-2</v>
      </c>
    </row>
    <row r="856" spans="5:6" x14ac:dyDescent="0.35">
      <c r="E856" s="13">
        <v>855</v>
      </c>
      <c r="F856" s="12">
        <f t="shared" ca="1" si="15"/>
        <v>1.3782035561332782E-2</v>
      </c>
    </row>
    <row r="857" spans="5:6" x14ac:dyDescent="0.35">
      <c r="E857" s="13">
        <v>856</v>
      </c>
      <c r="F857" s="12">
        <f t="shared" ca="1" si="15"/>
        <v>-2.7299921129441265E-2</v>
      </c>
    </row>
    <row r="858" spans="5:6" x14ac:dyDescent="0.35">
      <c r="E858" s="13">
        <v>857</v>
      </c>
      <c r="F858" s="12">
        <f t="shared" ca="1" si="15"/>
        <v>6.364938995982488E-3</v>
      </c>
    </row>
    <row r="859" spans="5:6" x14ac:dyDescent="0.35">
      <c r="E859" s="13">
        <v>858</v>
      </c>
      <c r="F859" s="12">
        <f t="shared" ca="1" si="15"/>
        <v>5.5996297550581862E-3</v>
      </c>
    </row>
    <row r="860" spans="5:6" x14ac:dyDescent="0.35">
      <c r="E860" s="13">
        <v>859</v>
      </c>
      <c r="F860" s="12">
        <f t="shared" ca="1" si="15"/>
        <v>1.6634003191995106E-3</v>
      </c>
    </row>
    <row r="861" spans="5:6" x14ac:dyDescent="0.35">
      <c r="E861" s="13">
        <v>860</v>
      </c>
      <c r="F861" s="12">
        <f t="shared" ca="1" si="15"/>
        <v>6.106844056346615E-3</v>
      </c>
    </row>
    <row r="862" spans="5:6" x14ac:dyDescent="0.35">
      <c r="E862" s="13">
        <v>861</v>
      </c>
      <c r="F862" s="12">
        <f t="shared" ca="1" si="15"/>
        <v>-3.8719770112426726E-3</v>
      </c>
    </row>
    <row r="863" spans="5:6" x14ac:dyDescent="0.35">
      <c r="E863" s="13">
        <v>862</v>
      </c>
      <c r="F863" s="12">
        <f t="shared" ca="1" si="15"/>
        <v>8.7517312882405482E-3</v>
      </c>
    </row>
    <row r="864" spans="5:6" x14ac:dyDescent="0.35">
      <c r="E864" s="13">
        <v>863</v>
      </c>
      <c r="F864" s="12">
        <f t="shared" ca="1" si="15"/>
        <v>1.4312887425402416E-2</v>
      </c>
    </row>
    <row r="865" spans="5:6" x14ac:dyDescent="0.35">
      <c r="E865" s="13">
        <v>864</v>
      </c>
      <c r="F865" s="12">
        <f t="shared" ca="1" si="15"/>
        <v>-1.6666422639822279E-2</v>
      </c>
    </row>
    <row r="866" spans="5:6" x14ac:dyDescent="0.35">
      <c r="E866" s="13">
        <v>865</v>
      </c>
      <c r="F866" s="12">
        <f t="shared" ca="1" si="15"/>
        <v>3.9564517376524592E-4</v>
      </c>
    </row>
    <row r="867" spans="5:6" x14ac:dyDescent="0.35">
      <c r="E867" s="13">
        <v>866</v>
      </c>
      <c r="F867" s="12">
        <f t="shared" ca="1" si="15"/>
        <v>-2.2029323570305761E-2</v>
      </c>
    </row>
    <row r="868" spans="5:6" x14ac:dyDescent="0.35">
      <c r="E868" s="13">
        <v>867</v>
      </c>
      <c r="F868" s="12">
        <f t="shared" ca="1" si="15"/>
        <v>1.3546916794352895E-2</v>
      </c>
    </row>
    <row r="869" spans="5:6" x14ac:dyDescent="0.35">
      <c r="E869" s="13">
        <v>868</v>
      </c>
      <c r="F869" s="12">
        <f t="shared" ca="1" si="15"/>
        <v>1.8220793717586382E-2</v>
      </c>
    </row>
    <row r="870" spans="5:6" x14ac:dyDescent="0.35">
      <c r="E870" s="13">
        <v>869</v>
      </c>
      <c r="F870" s="12">
        <f t="shared" ca="1" si="15"/>
        <v>1.1710332663474156E-2</v>
      </c>
    </row>
    <row r="871" spans="5:6" x14ac:dyDescent="0.35">
      <c r="E871" s="13">
        <v>870</v>
      </c>
      <c r="F871" s="12">
        <f t="shared" ca="1" si="15"/>
        <v>-1.0531659440037613E-2</v>
      </c>
    </row>
    <row r="872" spans="5:6" x14ac:dyDescent="0.35">
      <c r="E872" s="13">
        <v>871</v>
      </c>
      <c r="F872" s="12">
        <f t="shared" ca="1" si="15"/>
        <v>-2.520622584939889E-2</v>
      </c>
    </row>
    <row r="873" spans="5:6" x14ac:dyDescent="0.35">
      <c r="E873" s="13">
        <v>872</v>
      </c>
      <c r="F873" s="12">
        <f t="shared" ca="1" si="15"/>
        <v>-2.727583263206566E-2</v>
      </c>
    </row>
    <row r="874" spans="5:6" x14ac:dyDescent="0.35">
      <c r="E874" s="13">
        <v>873</v>
      </c>
      <c r="F874" s="12">
        <f t="shared" ca="1" si="15"/>
        <v>-3.0729747375024268E-3</v>
      </c>
    </row>
    <row r="875" spans="5:6" x14ac:dyDescent="0.35">
      <c r="E875" s="13">
        <v>874</v>
      </c>
      <c r="F875" s="12">
        <f t="shared" ca="1" si="15"/>
        <v>-3.7579321114351062E-2</v>
      </c>
    </row>
    <row r="876" spans="5:6" x14ac:dyDescent="0.35">
      <c r="E876" s="13">
        <v>875</v>
      </c>
      <c r="F876" s="12">
        <f t="shared" ca="1" si="15"/>
        <v>1.6115047870800921E-2</v>
      </c>
    </row>
    <row r="877" spans="5:6" x14ac:dyDescent="0.35">
      <c r="E877" s="13">
        <v>876</v>
      </c>
      <c r="F877" s="12">
        <f t="shared" ca="1" si="15"/>
        <v>-1.8481365815935166E-2</v>
      </c>
    </row>
    <row r="878" spans="5:6" x14ac:dyDescent="0.35">
      <c r="E878" s="13">
        <v>877</v>
      </c>
      <c r="F878" s="12">
        <f t="shared" ca="1" si="15"/>
        <v>1.1196014814350544E-2</v>
      </c>
    </row>
    <row r="879" spans="5:6" x14ac:dyDescent="0.35">
      <c r="E879" s="13">
        <v>878</v>
      </c>
      <c r="F879" s="12">
        <f t="shared" ca="1" si="15"/>
        <v>-1.9030260210747552E-2</v>
      </c>
    </row>
    <row r="880" spans="5:6" x14ac:dyDescent="0.35">
      <c r="E880" s="13">
        <v>879</v>
      </c>
      <c r="F880" s="12">
        <f t="shared" ca="1" si="15"/>
        <v>-6.3656596751827024E-3</v>
      </c>
    </row>
    <row r="881" spans="5:6" x14ac:dyDescent="0.35">
      <c r="E881" s="13">
        <v>880</v>
      </c>
      <c r="F881" s="12">
        <f t="shared" ca="1" si="15"/>
        <v>-1.2862175775725022E-2</v>
      </c>
    </row>
    <row r="882" spans="5:6" x14ac:dyDescent="0.35">
      <c r="E882" s="13">
        <v>881</v>
      </c>
      <c r="F882" s="12">
        <f t="shared" ca="1" si="15"/>
        <v>2.1458705602841022E-2</v>
      </c>
    </row>
    <row r="883" spans="5:6" x14ac:dyDescent="0.35">
      <c r="E883" s="13">
        <v>882</v>
      </c>
      <c r="F883" s="12">
        <f t="shared" ca="1" si="15"/>
        <v>-2.3146490498254423E-2</v>
      </c>
    </row>
    <row r="884" spans="5:6" x14ac:dyDescent="0.35">
      <c r="E884" s="13">
        <v>883</v>
      </c>
      <c r="F884" s="12">
        <f t="shared" ca="1" si="15"/>
        <v>1.0857522887687543E-2</v>
      </c>
    </row>
    <row r="885" spans="5:6" x14ac:dyDescent="0.35">
      <c r="E885" s="13">
        <v>884</v>
      </c>
      <c r="F885" s="12">
        <f t="shared" ca="1" si="15"/>
        <v>2.7846456985375849E-2</v>
      </c>
    </row>
    <row r="886" spans="5:6" x14ac:dyDescent="0.35">
      <c r="E886" s="13">
        <v>885</v>
      </c>
      <c r="F886" s="12">
        <f t="shared" ca="1" si="15"/>
        <v>1.1383946601185739E-2</v>
      </c>
    </row>
    <row r="887" spans="5:6" x14ac:dyDescent="0.35">
      <c r="E887" s="13">
        <v>886</v>
      </c>
      <c r="F887" s="12">
        <f t="shared" ca="1" si="15"/>
        <v>-8.7198675521745761E-3</v>
      </c>
    </row>
    <row r="888" spans="5:6" x14ac:dyDescent="0.35">
      <c r="E888" s="13">
        <v>887</v>
      </c>
      <c r="F888" s="12">
        <f t="shared" ca="1" si="15"/>
        <v>-1.6958424799479246E-2</v>
      </c>
    </row>
    <row r="889" spans="5:6" x14ac:dyDescent="0.35">
      <c r="E889" s="13">
        <v>888</v>
      </c>
      <c r="F889" s="12">
        <f t="shared" ca="1" si="15"/>
        <v>-2.4364720875937652E-2</v>
      </c>
    </row>
    <row r="890" spans="5:6" x14ac:dyDescent="0.35">
      <c r="E890" s="13">
        <v>889</v>
      </c>
      <c r="F890" s="12">
        <f t="shared" ca="1" si="15"/>
        <v>2.9505483391525393E-3</v>
      </c>
    </row>
    <row r="891" spans="5:6" x14ac:dyDescent="0.35">
      <c r="E891" s="13">
        <v>890</v>
      </c>
      <c r="F891" s="12">
        <f t="shared" ca="1" si="15"/>
        <v>-3.1408010299637454E-2</v>
      </c>
    </row>
    <row r="892" spans="5:6" x14ac:dyDescent="0.35">
      <c r="E892" s="13">
        <v>891</v>
      </c>
      <c r="F892" s="12">
        <f t="shared" ca="1" si="15"/>
        <v>-1.1851389465367306E-2</v>
      </c>
    </row>
    <row r="893" spans="5:6" x14ac:dyDescent="0.35">
      <c r="E893" s="13">
        <v>892</v>
      </c>
      <c r="F893" s="12">
        <f t="shared" ca="1" si="15"/>
        <v>-2.0598541209600758E-2</v>
      </c>
    </row>
    <row r="894" spans="5:6" x14ac:dyDescent="0.35">
      <c r="E894" s="13">
        <v>893</v>
      </c>
      <c r="F894" s="12">
        <f t="shared" ca="1" si="15"/>
        <v>1.7620627351043531E-2</v>
      </c>
    </row>
    <row r="895" spans="5:6" x14ac:dyDescent="0.35">
      <c r="E895" s="13">
        <v>894</v>
      </c>
      <c r="F895" s="12">
        <f t="shared" ca="1" si="15"/>
        <v>1.2534329006583671E-2</v>
      </c>
    </row>
    <row r="896" spans="5:6" x14ac:dyDescent="0.35">
      <c r="E896" s="13">
        <v>895</v>
      </c>
      <c r="F896" s="12">
        <f t="shared" ca="1" si="15"/>
        <v>-1.6862433665370841E-2</v>
      </c>
    </row>
    <row r="897" spans="5:6" x14ac:dyDescent="0.35">
      <c r="E897" s="13">
        <v>896</v>
      </c>
      <c r="F897" s="12">
        <f t="shared" ca="1" si="15"/>
        <v>7.5818550720467871E-3</v>
      </c>
    </row>
    <row r="898" spans="5:6" x14ac:dyDescent="0.35">
      <c r="E898" s="13">
        <v>897</v>
      </c>
      <c r="F898" s="12">
        <f t="shared" ca="1" si="15"/>
        <v>-4.0722059711075943E-3</v>
      </c>
    </row>
    <row r="899" spans="5:6" x14ac:dyDescent="0.35">
      <c r="E899" s="13">
        <v>898</v>
      </c>
      <c r="F899" s="12">
        <f t="shared" ref="F899:F962" ca="1" si="16">_xlfn.NORM.INV(RAND(),$I$3,$I$4)</f>
        <v>2.1353503628700754E-2</v>
      </c>
    </row>
    <row r="900" spans="5:6" x14ac:dyDescent="0.35">
      <c r="E900" s="13">
        <v>899</v>
      </c>
      <c r="F900" s="12">
        <f t="shared" ca="1" si="16"/>
        <v>5.734263274023374E-2</v>
      </c>
    </row>
    <row r="901" spans="5:6" x14ac:dyDescent="0.35">
      <c r="E901" s="13">
        <v>900</v>
      </c>
      <c r="F901" s="12">
        <f t="shared" ca="1" si="16"/>
        <v>6.8307376495871427E-3</v>
      </c>
    </row>
    <row r="902" spans="5:6" x14ac:dyDescent="0.35">
      <c r="E902" s="13">
        <v>901</v>
      </c>
      <c r="F902" s="12">
        <f t="shared" ca="1" si="16"/>
        <v>-2.1127807142616022E-2</v>
      </c>
    </row>
    <row r="903" spans="5:6" x14ac:dyDescent="0.35">
      <c r="E903" s="13">
        <v>902</v>
      </c>
      <c r="F903" s="12">
        <f t="shared" ca="1" si="16"/>
        <v>4.1371150549829681E-3</v>
      </c>
    </row>
    <row r="904" spans="5:6" x14ac:dyDescent="0.35">
      <c r="E904" s="13">
        <v>903</v>
      </c>
      <c r="F904" s="12">
        <f t="shared" ca="1" si="16"/>
        <v>-3.8076408104686654E-2</v>
      </c>
    </row>
    <row r="905" spans="5:6" x14ac:dyDescent="0.35">
      <c r="E905" s="13">
        <v>904</v>
      </c>
      <c r="F905" s="12">
        <f t="shared" ca="1" si="16"/>
        <v>1.7937100208407879E-4</v>
      </c>
    </row>
    <row r="906" spans="5:6" x14ac:dyDescent="0.35">
      <c r="E906" s="13">
        <v>905</v>
      </c>
      <c r="F906" s="12">
        <f t="shared" ca="1" si="16"/>
        <v>1.8670061171973298E-2</v>
      </c>
    </row>
    <row r="907" spans="5:6" x14ac:dyDescent="0.35">
      <c r="E907" s="13">
        <v>906</v>
      </c>
      <c r="F907" s="12">
        <f t="shared" ca="1" si="16"/>
        <v>5.323310500267105E-3</v>
      </c>
    </row>
    <row r="908" spans="5:6" x14ac:dyDescent="0.35">
      <c r="E908" s="13">
        <v>907</v>
      </c>
      <c r="F908" s="12">
        <f t="shared" ca="1" si="16"/>
        <v>-2.2549324610702779E-2</v>
      </c>
    </row>
    <row r="909" spans="5:6" x14ac:dyDescent="0.35">
      <c r="E909" s="13">
        <v>908</v>
      </c>
      <c r="F909" s="12">
        <f t="shared" ca="1" si="16"/>
        <v>1.0989214630080584E-2</v>
      </c>
    </row>
    <row r="910" spans="5:6" x14ac:dyDescent="0.35">
      <c r="E910" s="13">
        <v>909</v>
      </c>
      <c r="F910" s="12">
        <f t="shared" ca="1" si="16"/>
        <v>5.412259499360036E-3</v>
      </c>
    </row>
    <row r="911" spans="5:6" x14ac:dyDescent="0.35">
      <c r="E911" s="13">
        <v>910</v>
      </c>
      <c r="F911" s="12">
        <f t="shared" ca="1" si="16"/>
        <v>1.4087763931158168E-2</v>
      </c>
    </row>
    <row r="912" spans="5:6" x14ac:dyDescent="0.35">
      <c r="E912" s="13">
        <v>911</v>
      </c>
      <c r="F912" s="12">
        <f t="shared" ca="1" si="16"/>
        <v>1.3280534827398688E-2</v>
      </c>
    </row>
    <row r="913" spans="5:6" x14ac:dyDescent="0.35">
      <c r="E913" s="13">
        <v>912</v>
      </c>
      <c r="F913" s="12">
        <f t="shared" ca="1" si="16"/>
        <v>1.3415918698951347E-2</v>
      </c>
    </row>
    <row r="914" spans="5:6" x14ac:dyDescent="0.35">
      <c r="E914" s="13">
        <v>913</v>
      </c>
      <c r="F914" s="12">
        <f t="shared" ca="1" si="16"/>
        <v>-5.57628166692886E-3</v>
      </c>
    </row>
    <row r="915" spans="5:6" x14ac:dyDescent="0.35">
      <c r="E915" s="13">
        <v>914</v>
      </c>
      <c r="F915" s="12">
        <f t="shared" ca="1" si="16"/>
        <v>-2.0689491064344138E-2</v>
      </c>
    </row>
    <row r="916" spans="5:6" x14ac:dyDescent="0.35">
      <c r="E916" s="13">
        <v>915</v>
      </c>
      <c r="F916" s="12">
        <f t="shared" ca="1" si="16"/>
        <v>3.197705190787584E-3</v>
      </c>
    </row>
    <row r="917" spans="5:6" x14ac:dyDescent="0.35">
      <c r="E917" s="13">
        <v>916</v>
      </c>
      <c r="F917" s="12">
        <f t="shared" ca="1" si="16"/>
        <v>-6.9118274504270258E-2</v>
      </c>
    </row>
    <row r="918" spans="5:6" x14ac:dyDescent="0.35">
      <c r="E918" s="13">
        <v>917</v>
      </c>
      <c r="F918" s="12">
        <f t="shared" ca="1" si="16"/>
        <v>-7.925747478261521E-3</v>
      </c>
    </row>
    <row r="919" spans="5:6" x14ac:dyDescent="0.35">
      <c r="E919" s="13">
        <v>918</v>
      </c>
      <c r="F919" s="12">
        <f t="shared" ca="1" si="16"/>
        <v>-3.4306979767204614E-2</v>
      </c>
    </row>
    <row r="920" spans="5:6" x14ac:dyDescent="0.35">
      <c r="E920" s="13">
        <v>919</v>
      </c>
      <c r="F920" s="12">
        <f t="shared" ca="1" si="16"/>
        <v>6.5255002358795555E-3</v>
      </c>
    </row>
    <row r="921" spans="5:6" x14ac:dyDescent="0.35">
      <c r="E921" s="13">
        <v>920</v>
      </c>
      <c r="F921" s="12">
        <f t="shared" ca="1" si="16"/>
        <v>1.6664701594223331E-2</v>
      </c>
    </row>
    <row r="922" spans="5:6" x14ac:dyDescent="0.35">
      <c r="E922" s="13">
        <v>921</v>
      </c>
      <c r="F922" s="12">
        <f t="shared" ca="1" si="16"/>
        <v>5.7664751786931177E-3</v>
      </c>
    </row>
    <row r="923" spans="5:6" x14ac:dyDescent="0.35">
      <c r="E923" s="13">
        <v>922</v>
      </c>
      <c r="F923" s="12">
        <f t="shared" ca="1" si="16"/>
        <v>5.685769878935763E-4</v>
      </c>
    </row>
    <row r="924" spans="5:6" x14ac:dyDescent="0.35">
      <c r="E924" s="13">
        <v>923</v>
      </c>
      <c r="F924" s="12">
        <f t="shared" ca="1" si="16"/>
        <v>9.470291359947116E-3</v>
      </c>
    </row>
    <row r="925" spans="5:6" x14ac:dyDescent="0.35">
      <c r="E925" s="13">
        <v>924</v>
      </c>
      <c r="F925" s="12">
        <f t="shared" ca="1" si="16"/>
        <v>-1.9527343444708228E-2</v>
      </c>
    </row>
    <row r="926" spans="5:6" x14ac:dyDescent="0.35">
      <c r="E926" s="13">
        <v>925</v>
      </c>
      <c r="F926" s="12">
        <f t="shared" ca="1" si="16"/>
        <v>4.2184800270202466E-2</v>
      </c>
    </row>
    <row r="927" spans="5:6" x14ac:dyDescent="0.35">
      <c r="E927" s="13">
        <v>926</v>
      </c>
      <c r="F927" s="12">
        <f t="shared" ca="1" si="16"/>
        <v>1.2773876195446832E-2</v>
      </c>
    </row>
    <row r="928" spans="5:6" x14ac:dyDescent="0.35">
      <c r="E928" s="13">
        <v>927</v>
      </c>
      <c r="F928" s="12">
        <f t="shared" ca="1" si="16"/>
        <v>3.0117542432859908E-2</v>
      </c>
    </row>
    <row r="929" spans="5:6" x14ac:dyDescent="0.35">
      <c r="E929" s="13">
        <v>928</v>
      </c>
      <c r="F929" s="12">
        <f t="shared" ca="1" si="16"/>
        <v>-1.362434275007271E-2</v>
      </c>
    </row>
    <row r="930" spans="5:6" x14ac:dyDescent="0.35">
      <c r="E930" s="13">
        <v>929</v>
      </c>
      <c r="F930" s="12">
        <f t="shared" ca="1" si="16"/>
        <v>-1.4915407118423818E-2</v>
      </c>
    </row>
    <row r="931" spans="5:6" x14ac:dyDescent="0.35">
      <c r="E931" s="13">
        <v>930</v>
      </c>
      <c r="F931" s="12">
        <f t="shared" ca="1" si="16"/>
        <v>-1.0183230977988495E-2</v>
      </c>
    </row>
    <row r="932" spans="5:6" x14ac:dyDescent="0.35">
      <c r="E932" s="13">
        <v>931</v>
      </c>
      <c r="F932" s="12">
        <f t="shared" ca="1" si="16"/>
        <v>-1.1492521973819819E-2</v>
      </c>
    </row>
    <row r="933" spans="5:6" x14ac:dyDescent="0.35">
      <c r="E933" s="13">
        <v>932</v>
      </c>
      <c r="F933" s="12">
        <f t="shared" ca="1" si="16"/>
        <v>1.3422538027370479E-2</v>
      </c>
    </row>
    <row r="934" spans="5:6" x14ac:dyDescent="0.35">
      <c r="E934" s="13">
        <v>933</v>
      </c>
      <c r="F934" s="12">
        <f t="shared" ca="1" si="16"/>
        <v>-2.7192446284389354E-2</v>
      </c>
    </row>
    <row r="935" spans="5:6" x14ac:dyDescent="0.35">
      <c r="E935" s="13">
        <v>934</v>
      </c>
      <c r="F935" s="12">
        <f t="shared" ca="1" si="16"/>
        <v>-3.9306432357460279E-3</v>
      </c>
    </row>
    <row r="936" spans="5:6" x14ac:dyDescent="0.35">
      <c r="E936" s="13">
        <v>935</v>
      </c>
      <c r="F936" s="12">
        <f t="shared" ca="1" si="16"/>
        <v>1.0829292486748483E-2</v>
      </c>
    </row>
    <row r="937" spans="5:6" x14ac:dyDescent="0.35">
      <c r="E937" s="13">
        <v>936</v>
      </c>
      <c r="F937" s="12">
        <f t="shared" ca="1" si="16"/>
        <v>7.0441942716551395E-3</v>
      </c>
    </row>
    <row r="938" spans="5:6" x14ac:dyDescent="0.35">
      <c r="E938" s="13">
        <v>937</v>
      </c>
      <c r="F938" s="12">
        <f t="shared" ca="1" si="16"/>
        <v>3.596495834245505E-3</v>
      </c>
    </row>
    <row r="939" spans="5:6" x14ac:dyDescent="0.35">
      <c r="E939" s="13">
        <v>938</v>
      </c>
      <c r="F939" s="12">
        <f t="shared" ca="1" si="16"/>
        <v>3.0339532057917359E-3</v>
      </c>
    </row>
    <row r="940" spans="5:6" x14ac:dyDescent="0.35">
      <c r="E940" s="13">
        <v>939</v>
      </c>
      <c r="F940" s="12">
        <f t="shared" ca="1" si="16"/>
        <v>-1.2616186250818793E-2</v>
      </c>
    </row>
    <row r="941" spans="5:6" x14ac:dyDescent="0.35">
      <c r="E941" s="13">
        <v>940</v>
      </c>
      <c r="F941" s="12">
        <f t="shared" ca="1" si="16"/>
        <v>3.7565655046609026E-2</v>
      </c>
    </row>
    <row r="942" spans="5:6" x14ac:dyDescent="0.35">
      <c r="E942" s="13">
        <v>941</v>
      </c>
      <c r="F942" s="12">
        <f t="shared" ca="1" si="16"/>
        <v>2.4435999980663137E-2</v>
      </c>
    </row>
    <row r="943" spans="5:6" x14ac:dyDescent="0.35">
      <c r="E943" s="13">
        <v>942</v>
      </c>
      <c r="F943" s="12">
        <f t="shared" ca="1" si="16"/>
        <v>-6.0136011127253485E-3</v>
      </c>
    </row>
    <row r="944" spans="5:6" x14ac:dyDescent="0.35">
      <c r="E944" s="13">
        <v>943</v>
      </c>
      <c r="F944" s="12">
        <f t="shared" ca="1" si="16"/>
        <v>-1.7313347901446674E-2</v>
      </c>
    </row>
    <row r="945" spans="5:6" x14ac:dyDescent="0.35">
      <c r="E945" s="13">
        <v>944</v>
      </c>
      <c r="F945" s="12">
        <f t="shared" ca="1" si="16"/>
        <v>1.940158687005588E-2</v>
      </c>
    </row>
    <row r="946" spans="5:6" x14ac:dyDescent="0.35">
      <c r="E946" s="13">
        <v>945</v>
      </c>
      <c r="F946" s="12">
        <f t="shared" ca="1" si="16"/>
        <v>1.0636611774286974E-2</v>
      </c>
    </row>
    <row r="947" spans="5:6" x14ac:dyDescent="0.35">
      <c r="E947" s="13">
        <v>946</v>
      </c>
      <c r="F947" s="12">
        <f t="shared" ca="1" si="16"/>
        <v>-4.1998373406684358E-3</v>
      </c>
    </row>
    <row r="948" spans="5:6" x14ac:dyDescent="0.35">
      <c r="E948" s="13">
        <v>947</v>
      </c>
      <c r="F948" s="12">
        <f t="shared" ca="1" si="16"/>
        <v>-7.8970016923957161E-3</v>
      </c>
    </row>
    <row r="949" spans="5:6" x14ac:dyDescent="0.35">
      <c r="E949" s="13">
        <v>948</v>
      </c>
      <c r="F949" s="12">
        <f t="shared" ca="1" si="16"/>
        <v>-9.9523969162534278E-3</v>
      </c>
    </row>
    <row r="950" spans="5:6" x14ac:dyDescent="0.35">
      <c r="E950" s="13">
        <v>949</v>
      </c>
      <c r="F950" s="12">
        <f t="shared" ca="1" si="16"/>
        <v>2.5929097936289822E-2</v>
      </c>
    </row>
    <row r="951" spans="5:6" x14ac:dyDescent="0.35">
      <c r="E951" s="13">
        <v>950</v>
      </c>
      <c r="F951" s="12">
        <f t="shared" ca="1" si="16"/>
        <v>2.3152912429778953E-2</v>
      </c>
    </row>
    <row r="952" spans="5:6" x14ac:dyDescent="0.35">
      <c r="E952" s="13">
        <v>951</v>
      </c>
      <c r="F952" s="12">
        <f t="shared" ca="1" si="16"/>
        <v>-3.9141372954525092E-2</v>
      </c>
    </row>
    <row r="953" spans="5:6" x14ac:dyDescent="0.35">
      <c r="E953" s="13">
        <v>952</v>
      </c>
      <c r="F953" s="12">
        <f t="shared" ca="1" si="16"/>
        <v>-2.125371705493076E-2</v>
      </c>
    </row>
    <row r="954" spans="5:6" x14ac:dyDescent="0.35">
      <c r="E954" s="13">
        <v>953</v>
      </c>
      <c r="F954" s="12">
        <f t="shared" ca="1" si="16"/>
        <v>2.751496810355334E-3</v>
      </c>
    </row>
    <row r="955" spans="5:6" x14ac:dyDescent="0.35">
      <c r="E955" s="13">
        <v>954</v>
      </c>
      <c r="F955" s="12">
        <f t="shared" ca="1" si="16"/>
        <v>2.7220255454610798E-3</v>
      </c>
    </row>
    <row r="956" spans="5:6" x14ac:dyDescent="0.35">
      <c r="E956" s="13">
        <v>955</v>
      </c>
      <c r="F956" s="12">
        <f t="shared" ca="1" si="16"/>
        <v>-3.313054891965822E-2</v>
      </c>
    </row>
    <row r="957" spans="5:6" x14ac:dyDescent="0.35">
      <c r="E957" s="13">
        <v>956</v>
      </c>
      <c r="F957" s="12">
        <f t="shared" ca="1" si="16"/>
        <v>6.7199642815297476E-3</v>
      </c>
    </row>
    <row r="958" spans="5:6" x14ac:dyDescent="0.35">
      <c r="E958" s="13">
        <v>957</v>
      </c>
      <c r="F958" s="12">
        <f t="shared" ca="1" si="16"/>
        <v>2.3481718274518002E-3</v>
      </c>
    </row>
    <row r="959" spans="5:6" x14ac:dyDescent="0.35">
      <c r="E959" s="13">
        <v>958</v>
      </c>
      <c r="F959" s="12">
        <f t="shared" ca="1" si="16"/>
        <v>9.1281832222202576E-3</v>
      </c>
    </row>
    <row r="960" spans="5:6" x14ac:dyDescent="0.35">
      <c r="E960" s="13">
        <v>959</v>
      </c>
      <c r="F960" s="12">
        <f t="shared" ca="1" si="16"/>
        <v>1.2045014236345696E-2</v>
      </c>
    </row>
    <row r="961" spans="5:6" x14ac:dyDescent="0.35">
      <c r="E961" s="13">
        <v>960</v>
      </c>
      <c r="F961" s="12">
        <f t="shared" ca="1" si="16"/>
        <v>2.1777122435565861E-2</v>
      </c>
    </row>
    <row r="962" spans="5:6" x14ac:dyDescent="0.35">
      <c r="E962" s="13">
        <v>961</v>
      </c>
      <c r="F962" s="12">
        <f t="shared" ca="1" si="16"/>
        <v>2.3974999739184804E-2</v>
      </c>
    </row>
    <row r="963" spans="5:6" x14ac:dyDescent="0.35">
      <c r="E963" s="13">
        <v>962</v>
      </c>
      <c r="F963" s="12">
        <f t="shared" ref="F963:F1001" ca="1" si="17">_xlfn.NORM.INV(RAND(),$I$3,$I$4)</f>
        <v>-2.2065630920697136E-2</v>
      </c>
    </row>
    <row r="964" spans="5:6" x14ac:dyDescent="0.35">
      <c r="E964" s="13">
        <v>963</v>
      </c>
      <c r="F964" s="12">
        <f t="shared" ca="1" si="17"/>
        <v>3.4936029285054016E-3</v>
      </c>
    </row>
    <row r="965" spans="5:6" x14ac:dyDescent="0.35">
      <c r="E965" s="13">
        <v>964</v>
      </c>
      <c r="F965" s="12">
        <f t="shared" ca="1" si="17"/>
        <v>-3.418103805977827E-3</v>
      </c>
    </row>
    <row r="966" spans="5:6" x14ac:dyDescent="0.35">
      <c r="E966" s="13">
        <v>965</v>
      </c>
      <c r="F966" s="12">
        <f t="shared" ca="1" si="17"/>
        <v>-3.6092194599039768E-3</v>
      </c>
    </row>
    <row r="967" spans="5:6" x14ac:dyDescent="0.35">
      <c r="E967" s="13">
        <v>966</v>
      </c>
      <c r="F967" s="12">
        <f t="shared" ca="1" si="17"/>
        <v>-1.6759598423497817E-2</v>
      </c>
    </row>
    <row r="968" spans="5:6" x14ac:dyDescent="0.35">
      <c r="E968" s="13">
        <v>967</v>
      </c>
      <c r="F968" s="12">
        <f t="shared" ca="1" si="17"/>
        <v>2.8991603996007632E-2</v>
      </c>
    </row>
    <row r="969" spans="5:6" x14ac:dyDescent="0.35">
      <c r="E969" s="13">
        <v>968</v>
      </c>
      <c r="F969" s="12">
        <f t="shared" ca="1" si="17"/>
        <v>-1.6807942024689045E-2</v>
      </c>
    </row>
    <row r="970" spans="5:6" x14ac:dyDescent="0.35">
      <c r="E970" s="13">
        <v>969</v>
      </c>
      <c r="F970" s="12">
        <f t="shared" ca="1" si="17"/>
        <v>-8.1404712840577181E-3</v>
      </c>
    </row>
    <row r="971" spans="5:6" x14ac:dyDescent="0.35">
      <c r="E971" s="13">
        <v>970</v>
      </c>
      <c r="F971" s="12">
        <f t="shared" ca="1" si="17"/>
        <v>1.1776218945003256E-2</v>
      </c>
    </row>
    <row r="972" spans="5:6" x14ac:dyDescent="0.35">
      <c r="E972" s="13">
        <v>971</v>
      </c>
      <c r="F972" s="12">
        <f t="shared" ca="1" si="17"/>
        <v>-7.3957411938594345E-3</v>
      </c>
    </row>
    <row r="973" spans="5:6" x14ac:dyDescent="0.35">
      <c r="E973" s="13">
        <v>972</v>
      </c>
      <c r="F973" s="12">
        <f t="shared" ca="1" si="17"/>
        <v>6.0778425433075829E-3</v>
      </c>
    </row>
    <row r="974" spans="5:6" x14ac:dyDescent="0.35">
      <c r="E974" s="13">
        <v>973</v>
      </c>
      <c r="F974" s="12">
        <f t="shared" ca="1" si="17"/>
        <v>-9.4264799941632272E-3</v>
      </c>
    </row>
    <row r="975" spans="5:6" x14ac:dyDescent="0.35">
      <c r="E975" s="13">
        <v>974</v>
      </c>
      <c r="F975" s="12">
        <f t="shared" ca="1" si="17"/>
        <v>6.7925317797509713E-3</v>
      </c>
    </row>
    <row r="976" spans="5:6" x14ac:dyDescent="0.35">
      <c r="E976" s="13">
        <v>975</v>
      </c>
      <c r="F976" s="12">
        <f t="shared" ca="1" si="17"/>
        <v>2.0068286325578048E-2</v>
      </c>
    </row>
    <row r="977" spans="5:6" x14ac:dyDescent="0.35">
      <c r="E977" s="13">
        <v>976</v>
      </c>
      <c r="F977" s="12">
        <f t="shared" ca="1" si="17"/>
        <v>6.0625244168824016E-3</v>
      </c>
    </row>
    <row r="978" spans="5:6" x14ac:dyDescent="0.35">
      <c r="E978" s="13">
        <v>977</v>
      </c>
      <c r="F978" s="12">
        <f t="shared" ca="1" si="17"/>
        <v>2.3453959958911917E-3</v>
      </c>
    </row>
    <row r="979" spans="5:6" x14ac:dyDescent="0.35">
      <c r="E979" s="13">
        <v>978</v>
      </c>
      <c r="F979" s="12">
        <f t="shared" ca="1" si="17"/>
        <v>5.3044886759909165E-3</v>
      </c>
    </row>
    <row r="980" spans="5:6" x14ac:dyDescent="0.35">
      <c r="E980" s="13">
        <v>979</v>
      </c>
      <c r="F980" s="12">
        <f t="shared" ca="1" si="17"/>
        <v>1.4857452476131974E-2</v>
      </c>
    </row>
    <row r="981" spans="5:6" x14ac:dyDescent="0.35">
      <c r="E981" s="13">
        <v>980</v>
      </c>
      <c r="F981" s="12">
        <f t="shared" ca="1" si="17"/>
        <v>-2.2463725861441106E-2</v>
      </c>
    </row>
    <row r="982" spans="5:6" x14ac:dyDescent="0.35">
      <c r="E982" s="13">
        <v>981</v>
      </c>
      <c r="F982" s="12">
        <f t="shared" ca="1" si="17"/>
        <v>4.3183364571144477E-4</v>
      </c>
    </row>
    <row r="983" spans="5:6" x14ac:dyDescent="0.35">
      <c r="E983" s="13">
        <v>982</v>
      </c>
      <c r="F983" s="12">
        <f t="shared" ca="1" si="17"/>
        <v>-6.8985780394413077E-5</v>
      </c>
    </row>
    <row r="984" spans="5:6" x14ac:dyDescent="0.35">
      <c r="E984" s="13">
        <v>983</v>
      </c>
      <c r="F984" s="12">
        <f t="shared" ca="1" si="17"/>
        <v>4.0238509116524858E-2</v>
      </c>
    </row>
    <row r="985" spans="5:6" x14ac:dyDescent="0.35">
      <c r="E985" s="13">
        <v>984</v>
      </c>
      <c r="F985" s="12">
        <f t="shared" ca="1" si="17"/>
        <v>2.1631005630367486E-2</v>
      </c>
    </row>
    <row r="986" spans="5:6" x14ac:dyDescent="0.35">
      <c r="E986" s="13">
        <v>985</v>
      </c>
      <c r="F986" s="12">
        <f t="shared" ca="1" si="17"/>
        <v>-3.4584905671180941E-3</v>
      </c>
    </row>
    <row r="987" spans="5:6" x14ac:dyDescent="0.35">
      <c r="E987" s="13">
        <v>986</v>
      </c>
      <c r="F987" s="12">
        <f t="shared" ca="1" si="17"/>
        <v>-2.0474819879204966E-3</v>
      </c>
    </row>
    <row r="988" spans="5:6" x14ac:dyDescent="0.35">
      <c r="E988" s="13">
        <v>987</v>
      </c>
      <c r="F988" s="12">
        <f t="shared" ca="1" si="17"/>
        <v>2.446303768783066E-2</v>
      </c>
    </row>
    <row r="989" spans="5:6" x14ac:dyDescent="0.35">
      <c r="E989" s="13">
        <v>988</v>
      </c>
      <c r="F989" s="12">
        <f t="shared" ca="1" si="17"/>
        <v>-5.0723655117107681E-3</v>
      </c>
    </row>
    <row r="990" spans="5:6" x14ac:dyDescent="0.35">
      <c r="E990" s="13">
        <v>989</v>
      </c>
      <c r="F990" s="12">
        <f t="shared" ca="1" si="17"/>
        <v>-2.0080230200854653E-2</v>
      </c>
    </row>
    <row r="991" spans="5:6" x14ac:dyDescent="0.35">
      <c r="E991" s="13">
        <v>990</v>
      </c>
      <c r="F991" s="12">
        <f t="shared" ca="1" si="17"/>
        <v>4.2415639029472839E-2</v>
      </c>
    </row>
    <row r="992" spans="5:6" x14ac:dyDescent="0.35">
      <c r="E992" s="13">
        <v>991</v>
      </c>
      <c r="F992" s="12">
        <f t="shared" ca="1" si="17"/>
        <v>2.3483630061895924E-2</v>
      </c>
    </row>
    <row r="993" spans="5:6" x14ac:dyDescent="0.35">
      <c r="E993" s="13">
        <v>992</v>
      </c>
      <c r="F993" s="12">
        <f t="shared" ca="1" si="17"/>
        <v>2.4835486817350139E-2</v>
      </c>
    </row>
    <row r="994" spans="5:6" x14ac:dyDescent="0.35">
      <c r="E994" s="13">
        <v>993</v>
      </c>
      <c r="F994" s="12">
        <f t="shared" ca="1" si="17"/>
        <v>1.0486568079479343E-2</v>
      </c>
    </row>
    <row r="995" spans="5:6" x14ac:dyDescent="0.35">
      <c r="E995" s="13">
        <v>994</v>
      </c>
      <c r="F995" s="12">
        <f t="shared" ca="1" si="17"/>
        <v>-3.1347287908551134E-3</v>
      </c>
    </row>
    <row r="996" spans="5:6" x14ac:dyDescent="0.35">
      <c r="E996" s="13">
        <v>995</v>
      </c>
      <c r="F996" s="12">
        <f t="shared" ca="1" si="17"/>
        <v>-2.0828079158314198E-2</v>
      </c>
    </row>
    <row r="997" spans="5:6" x14ac:dyDescent="0.35">
      <c r="E997" s="13">
        <v>996</v>
      </c>
      <c r="F997" s="12">
        <f t="shared" ca="1" si="17"/>
        <v>-9.1471589415245864E-3</v>
      </c>
    </row>
    <row r="998" spans="5:6" x14ac:dyDescent="0.35">
      <c r="E998" s="13">
        <v>997</v>
      </c>
      <c r="F998" s="12">
        <f t="shared" ca="1" si="17"/>
        <v>1.93681001396473E-2</v>
      </c>
    </row>
    <row r="999" spans="5:6" x14ac:dyDescent="0.35">
      <c r="E999" s="13">
        <v>998</v>
      </c>
      <c r="F999" s="12">
        <f t="shared" ca="1" si="17"/>
        <v>9.0654800089282027E-3</v>
      </c>
    </row>
    <row r="1000" spans="5:6" x14ac:dyDescent="0.35">
      <c r="E1000" s="13">
        <v>999</v>
      </c>
      <c r="F1000" s="12">
        <f t="shared" ca="1" si="17"/>
        <v>1.1465491231505781E-2</v>
      </c>
    </row>
    <row r="1001" spans="5:6" x14ac:dyDescent="0.35">
      <c r="E1001" s="13">
        <v>1000</v>
      </c>
      <c r="F1001" s="12">
        <f t="shared" ca="1" si="17"/>
        <v>2.3926893595492857E-3</v>
      </c>
    </row>
  </sheetData>
  <mergeCells count="3">
    <mergeCell ref="H8:I9"/>
    <mergeCell ref="H2:I2"/>
    <mergeCell ref="H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Historical VaR</vt:lpstr>
      <vt:lpstr>Monte Carlo simulation 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BT03227</dc:creator>
  <cp:lastModifiedBy>soumendra2405@gmail.com</cp:lastModifiedBy>
  <dcterms:created xsi:type="dcterms:W3CDTF">2026-01-31T08:40:25Z</dcterms:created>
  <dcterms:modified xsi:type="dcterms:W3CDTF">2026-02-17T09:26:50Z</dcterms:modified>
</cp:coreProperties>
</file>